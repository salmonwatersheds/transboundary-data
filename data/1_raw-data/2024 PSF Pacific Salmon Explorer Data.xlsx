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iepeacock/Library/CloudStorage/Dropbox-SalmonWatersheds/Stephanie Peacock/X Drive/1_PROJECTS/1_Active/Population Methods and Analysis/population-data/transboundary-data/data/1_raw-data/"/>
    </mc:Choice>
  </mc:AlternateContent>
  <xr:revisionPtr revIDLastSave="0" documentId="13_ncr:1_{B28EF92D-441F-3848-B135-43FFF21D415F}" xr6:coauthVersionLast="47" xr6:coauthVersionMax="47" xr10:uidLastSave="{00000000-0000-0000-0000-000000000000}"/>
  <bookViews>
    <workbookView xWindow="38420" yWindow="2720" windowWidth="29580" windowHeight="18740" tabRatio="914" xr2:uid="{00000000-000D-0000-FFFF-FFFF00000000}"/>
  </bookViews>
  <sheets>
    <sheet name="Stik Appen B12-13" sheetId="1" r:id="rId1"/>
    <sheet name="Stik Appen B22" sheetId="2" r:id="rId2"/>
    <sheet name="Stik Appen B.24" sheetId="3" r:id="rId3"/>
    <sheet name="Stik Appen B.25" sheetId="4" r:id="rId4"/>
    <sheet name="Stik Appen B.26" sheetId="5" r:id="rId5"/>
    <sheet name="Stik Appen B.27" sheetId="6" r:id="rId6"/>
    <sheet name="Stik Appen B.30" sheetId="7" r:id="rId7"/>
    <sheet name="Stik Appen B.32" sheetId="8" r:id="rId8"/>
    <sheet name="B.33_VMadded" sheetId="26" r:id="rId9"/>
    <sheet name="Stik Appen B.34" sheetId="9" r:id="rId10"/>
    <sheet name="Appen D7" sheetId="11" r:id="rId11"/>
    <sheet name="Appen D8" sheetId="12" r:id="rId12"/>
    <sheet name="TAk Appen D14" sheetId="13" r:id="rId13"/>
    <sheet name="TAk Appen D15" sheetId="14" r:id="rId14"/>
    <sheet name="TAk Appen D16" sheetId="15" r:id="rId15"/>
    <sheet name="TAk Appen D17" sheetId="16" r:id="rId16"/>
    <sheet name="TAk Appen D18" sheetId="17" r:id="rId17"/>
    <sheet name="TAk Appen D19" sheetId="18" r:id="rId18"/>
    <sheet name="TAk Appen D22" sheetId="27" r:id="rId19"/>
    <sheet name="TAk Appen D24" sheetId="19" r:id="rId20"/>
    <sheet name="ALS Appen E5" sheetId="20" r:id="rId21"/>
    <sheet name="ALS Appen E8" sheetId="21" r:id="rId22"/>
    <sheet name="ALS Appen E10" sheetId="22" r:id="rId23"/>
    <sheet name="ALS Appen E13" sheetId="23" r:id="rId24"/>
    <sheet name="E12_converted" sheetId="25" r:id="rId25"/>
    <sheet name="ALS Appen E15" sheetId="24" r:id="rId26"/>
  </sheets>
  <definedNames>
    <definedName name="_xlnm._FilterDatabase" localSheetId="0" hidden="1">'Stik Appen B12-13'!$A$5:$O$54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27" l="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</calcChain>
</file>

<file path=xl/sharedStrings.xml><?xml version="1.0" encoding="utf-8"?>
<sst xmlns="http://schemas.openxmlformats.org/spreadsheetml/2006/main" count="948" uniqueCount="372">
  <si>
    <t>Inriver run and escapement generated from mark-recapture studies, inriver and marine harvest as reported in ADF&amp;G fisheries data series reports</t>
  </si>
  <si>
    <t>Total run from jointly accepted US and Canadian harvest estimates. Terminal run includes only harvest in the Stikine River and District 108.</t>
  </si>
  <si>
    <t>Above border run</t>
  </si>
  <si>
    <t>Canadian</t>
  </si>
  <si>
    <t>U.S.</t>
  </si>
  <si>
    <t>Terminal</t>
  </si>
  <si>
    <t>% to</t>
  </si>
  <si>
    <t>Little Tahltan</t>
  </si>
  <si>
    <t xml:space="preserve">  Beatty</t>
  </si>
  <si>
    <t>Andrew</t>
  </si>
  <si>
    <t>Year</t>
  </si>
  <si>
    <t>Mark-recapture</t>
  </si>
  <si>
    <t>harvest</t>
  </si>
  <si>
    <t>Escapement</t>
  </si>
  <si>
    <t>Run</t>
  </si>
  <si>
    <t xml:space="preserve">  Weir</t>
  </si>
  <si>
    <t xml:space="preserve">  Aerial</t>
  </si>
  <si>
    <t>Creek</t>
  </si>
  <si>
    <t>Comments</t>
  </si>
  <si>
    <t>Weir inc. broodstock</t>
  </si>
  <si>
    <t>Foot</t>
  </si>
  <si>
    <t>Heli</t>
  </si>
  <si>
    <t>Aerial</t>
  </si>
  <si>
    <t>Missed peak survey time due to weather</t>
  </si>
  <si>
    <t>Averages</t>
  </si>
  <si>
    <t>2014a</t>
  </si>
  <si>
    <t>Weir count</t>
  </si>
  <si>
    <t>Broodstock taken</t>
  </si>
  <si>
    <t>Sockeye otolith samples</t>
  </si>
  <si>
    <t>Natural spawners</t>
  </si>
  <si>
    <t xml:space="preserve">Total </t>
  </si>
  <si>
    <t>TahltanEnhance</t>
  </si>
  <si>
    <t>WildTahltan</t>
  </si>
  <si>
    <t>Total</t>
  </si>
  <si>
    <t>stocks, 1979-2013,1994-2000 and 2003-2004 data from commercial harvest.</t>
  </si>
  <si>
    <t>In 1979-1988, there were US estimates and 1983-1988, they overlapped with estimates from Canada</t>
  </si>
  <si>
    <t>All Tahltan</t>
  </si>
  <si>
    <t>Mainstem</t>
  </si>
  <si>
    <t>Tuya</t>
  </si>
  <si>
    <t>Type</t>
  </si>
  <si>
    <t>LRCF</t>
  </si>
  <si>
    <t>average</t>
  </si>
  <si>
    <t>average of 10 yrs</t>
  </si>
  <si>
    <t>Kakwan</t>
  </si>
  <si>
    <t>The index represents the combined counts from eight spawning areas.</t>
  </si>
  <si>
    <t>Chutine</t>
  </si>
  <si>
    <t>Scud</t>
  </si>
  <si>
    <t>Porcupine</t>
  </si>
  <si>
    <t>Christina</t>
  </si>
  <si>
    <t>Craig</t>
  </si>
  <si>
    <t>Bronson</t>
  </si>
  <si>
    <t>Verrett</t>
  </si>
  <si>
    <t>River</t>
  </si>
  <si>
    <t>Slough</t>
  </si>
  <si>
    <t>Index</t>
  </si>
  <si>
    <t>No Surveys Conducted</t>
  </si>
  <si>
    <t>aborted</t>
  </si>
  <si>
    <t>high dirty water--all spawning areas</t>
  </si>
  <si>
    <t>No Survey</t>
  </si>
  <si>
    <t>Above border</t>
  </si>
  <si>
    <t>Escapement/</t>
  </si>
  <si>
    <t xml:space="preserve">  Terminal</t>
  </si>
  <si>
    <t>Harvest/removals</t>
  </si>
  <si>
    <t>broodstock</t>
  </si>
  <si>
    <t>Harvest</t>
  </si>
  <si>
    <t xml:space="preserve">   Run</t>
  </si>
  <si>
    <t xml:space="preserve">Stikine River </t>
  </si>
  <si>
    <t>Excess</t>
  </si>
  <si>
    <t>EnhancedTahltan</t>
  </si>
  <si>
    <t>Missing data due to poor survey conditions.</t>
  </si>
  <si>
    <t xml:space="preserve">   Katete</t>
  </si>
  <si>
    <t xml:space="preserve"> Bronson</t>
  </si>
  <si>
    <t xml:space="preserve">  Scud</t>
  </si>
  <si>
    <t>Date</t>
  </si>
  <si>
    <t>West</t>
  </si>
  <si>
    <t xml:space="preserve">  Katete</t>
  </si>
  <si>
    <t xml:space="preserve">   Craig</t>
  </si>
  <si>
    <t xml:space="preserve">   Verrett</t>
  </si>
  <si>
    <t xml:space="preserve"> Slough</t>
  </si>
  <si>
    <t xml:space="preserve">  Slough</t>
  </si>
  <si>
    <t>11/03a</t>
  </si>
  <si>
    <t xml:space="preserve"> 11/01-05b</t>
  </si>
  <si>
    <t>11/05c</t>
  </si>
  <si>
    <t>Average</t>
  </si>
  <si>
    <t>2014- Estimated 9% sockeye salmon mortality due to the landslide with an ajustment made for increase harvest in AF fishery. Used a 10-year harvest rate of 12% of the AF times the estimated 9% mortality.</t>
  </si>
  <si>
    <t>2018 the weir was pulled early for fires in the area; estimate was expanded by the 2015–2017 average of run timing (40%) remaining when weir pulled.</t>
  </si>
  <si>
    <t>Weir</t>
  </si>
  <si>
    <t>Date of Arrival</t>
  </si>
  <si>
    <t xml:space="preserve">   Total</t>
  </si>
  <si>
    <t>Counts</t>
  </si>
  <si>
    <t>Samples</t>
  </si>
  <si>
    <t>Otolith</t>
  </si>
  <si>
    <t xml:space="preserve">Landslide Mortality </t>
  </si>
  <si>
    <t>Estimated Expansion</t>
  </si>
  <si>
    <t>Installed</t>
  </si>
  <si>
    <t xml:space="preserve">   First</t>
  </si>
  <si>
    <t>Pulled</t>
  </si>
  <si>
    <t>Observed  Count</t>
  </si>
  <si>
    <t>after harvest/samples</t>
  </si>
  <si>
    <t>Broodstock</t>
  </si>
  <si>
    <t>or ESSR</t>
  </si>
  <si>
    <t>Enhanced</t>
  </si>
  <si>
    <t>Spawners</t>
  </si>
  <si>
    <t>Wild</t>
  </si>
  <si>
    <t>Landslide</t>
  </si>
  <si>
    <t xml:space="preserve">   Count</t>
  </si>
  <si>
    <t>and Other</t>
  </si>
  <si>
    <t>mortality</t>
  </si>
  <si>
    <t>Large Chinook</t>
  </si>
  <si>
    <t>nonlarge Chinook</t>
  </si>
  <si>
    <t xml:space="preserve">Run estimate does not include spawning escapements below the U.S./Canada border. U.S. harvest estimates </t>
  </si>
  <si>
    <t>after 2004 are based on GSI (gillnet and sport fish) and CWT (troll) and harvest in the fisheries between SW 18-29.</t>
  </si>
  <si>
    <t>Above Border MR</t>
  </si>
  <si>
    <t>Spawning Escapements</t>
  </si>
  <si>
    <t>Confidence Intervals</t>
  </si>
  <si>
    <t>Unadjusted</t>
  </si>
  <si>
    <t>Method</t>
  </si>
  <si>
    <t>Lower</t>
  </si>
  <si>
    <t>Upper</t>
  </si>
  <si>
    <t>Catch/Harvest</t>
  </si>
  <si>
    <t>Estimate</t>
  </si>
  <si>
    <t>Aerial expansion</t>
  </si>
  <si>
    <t>Medium expansion</t>
  </si>
  <si>
    <t>Total Index</t>
  </si>
  <si>
    <t>Count without</t>
  </si>
  <si>
    <t>Kowatua</t>
  </si>
  <si>
    <t>Dudidontu</t>
  </si>
  <si>
    <t>Tseta</t>
  </si>
  <si>
    <t>added fish for index 4</t>
  </si>
  <si>
    <t>Total fish</t>
  </si>
  <si>
    <t>Nahlin</t>
  </si>
  <si>
    <t>NA</t>
  </si>
  <si>
    <r>
      <t>Nakina</t>
    </r>
    <r>
      <rPr>
        <vertAlign val="superscript"/>
        <sz val="10"/>
        <rFont val="Times New Roman"/>
        <family val="1"/>
      </rPr>
      <t>a</t>
    </r>
  </si>
  <si>
    <t>Broodstock taken includes all fish used for gametes. Fish held for broodstock and released unspawned are included in natural spawning escapement.</t>
  </si>
  <si>
    <t>Generally ototlith samples are a proportion of the broodstock samples. Biological samples are part of spawning escapement used for otolith samples to provide wild/enhanced data.</t>
  </si>
  <si>
    <t>Broodstock otoliths</t>
  </si>
  <si>
    <t>Broodstock holding mortalities</t>
  </si>
  <si>
    <t>Carcasses otolith samples</t>
  </si>
  <si>
    <t>Natual spawning escapement</t>
  </si>
  <si>
    <t>Broodstock estimate is based on commercial ratio with Tatsamenie River weir data</t>
  </si>
  <si>
    <t>Natural spawning escapement</t>
  </si>
  <si>
    <t>Weir  Count</t>
  </si>
  <si>
    <t>Holding below weir</t>
  </si>
  <si>
    <t>wild</t>
  </si>
  <si>
    <t>enhanced</t>
  </si>
  <si>
    <t>Run estimate does not include spawning escapements below the U.S./Canada border.</t>
  </si>
  <si>
    <t xml:space="preserve">MR estimates have been adjusted for dropout and size selectivity. </t>
  </si>
  <si>
    <t>Natural</t>
  </si>
  <si>
    <t>Spawning</t>
  </si>
  <si>
    <t>Start date</t>
  </si>
  <si>
    <t>Removals</t>
  </si>
  <si>
    <t xml:space="preserve">Run </t>
  </si>
  <si>
    <t>Rate</t>
  </si>
  <si>
    <t>Wild Terminal Run</t>
  </si>
  <si>
    <t>Enhanced Terminal Run</t>
  </si>
  <si>
    <t>US</t>
  </si>
  <si>
    <t>Taken</t>
  </si>
  <si>
    <t>escapement</t>
  </si>
  <si>
    <t>Spawners equals escapement to the weir minus fish collected for brood stock.</t>
  </si>
  <si>
    <t>Kuthai</t>
  </si>
  <si>
    <t>Lake</t>
  </si>
  <si>
    <t xml:space="preserve">Total counts from both fish wheels and supplemental gillnets when water is low. </t>
  </si>
  <si>
    <t>Catch</t>
  </si>
  <si>
    <t>Period of</t>
  </si>
  <si>
    <t>Traditional - CYI Fish Wheel 1 and 2</t>
  </si>
  <si>
    <t>Pink</t>
  </si>
  <si>
    <t>Downriver Fish Wheel 3</t>
  </si>
  <si>
    <t>Operation</t>
  </si>
  <si>
    <t>Chinook</t>
  </si>
  <si>
    <t xml:space="preserve">    Coho</t>
  </si>
  <si>
    <t xml:space="preserve">    Pink</t>
  </si>
  <si>
    <t xml:space="preserve">     Chum</t>
  </si>
  <si>
    <t>even year</t>
  </si>
  <si>
    <t>odd year</t>
  </si>
  <si>
    <t>Steelhead</t>
  </si>
  <si>
    <t>6/15-9/18</t>
  </si>
  <si>
    <t>6/16-9/21</t>
  </si>
  <si>
    <t>6/14-8/25</t>
  </si>
  <si>
    <t>6/15-9/20</t>
  </si>
  <si>
    <t>5/11-9/19</t>
  </si>
  <si>
    <t>5/05-10/01</t>
  </si>
  <si>
    <t>5/03-9/23</t>
  </si>
  <si>
    <t>6/08-10/15</t>
  </si>
  <si>
    <t>6/20-9/24</t>
  </si>
  <si>
    <t>6/12-9/29</t>
  </si>
  <si>
    <t>6/10-9/21</t>
  </si>
  <si>
    <t>5/4-9/27</t>
  </si>
  <si>
    <t>5/3-9/20</t>
  </si>
  <si>
    <t>5/3-10/1</t>
  </si>
  <si>
    <t>5/2-9/15</t>
  </si>
  <si>
    <t>5/3-10/3</t>
  </si>
  <si>
    <t>4/23-10/3</t>
  </si>
  <si>
    <t>4/23-10/5</t>
  </si>
  <si>
    <t>4/24-10/7</t>
  </si>
  <si>
    <t>4/20-10/08</t>
  </si>
  <si>
    <t>4/30-10/06</t>
  </si>
  <si>
    <t>4/25-10/05</t>
  </si>
  <si>
    <t>4/27-10/03</t>
  </si>
  <si>
    <t>4/27-10/01</t>
  </si>
  <si>
    <t>4/23-10/03</t>
  </si>
  <si>
    <t>4/24-9/27</t>
  </si>
  <si>
    <t>4/25-10/02</t>
  </si>
  <si>
    <t>5/21-9/15</t>
  </si>
  <si>
    <t>6/16-9/9</t>
  </si>
  <si>
    <t>4/25-10/3</t>
  </si>
  <si>
    <t>4/29-10/3</t>
  </si>
  <si>
    <t>5/3-9/27</t>
  </si>
  <si>
    <t>5/18-9/30</t>
  </si>
  <si>
    <t>6/3-9/23</t>
  </si>
  <si>
    <t>5/15-10/4</t>
  </si>
  <si>
    <t>5/13-10/3</t>
  </si>
  <si>
    <t>5/11-9/12</t>
  </si>
  <si>
    <t>Count</t>
  </si>
  <si>
    <t>At weir</t>
  </si>
  <si>
    <t>Above weir</t>
  </si>
  <si>
    <t>2012 weir count was adjusted to account for high water years when weir was disabled</t>
  </si>
  <si>
    <t>Appendix E8.  Aerial survey index counts of Alsek River Chinook salmon escapements, 1984-20xx.</t>
  </si>
  <si>
    <t>Blanchard River</t>
  </si>
  <si>
    <t>No survey</t>
  </si>
  <si>
    <t>a</t>
  </si>
  <si>
    <t>No surveys</t>
  </si>
  <si>
    <t xml:space="preserve">Appendix E.10.  Klukshu River sockeye salmon weir count, weir harvest, and escapement, 1976-20xx.  </t>
  </si>
  <si>
    <t>Appendix E.13.  Alsek River sockeye counts from U.S. and Canada, 1985-20xx.</t>
  </si>
  <si>
    <t>Surveys not made every year at each tributary. Canadian surveys-include several streams from Lo-Fog to Goat Creek.</t>
  </si>
  <si>
    <t>Village Creek counter 1986-2013 conductivity counter; 2014 video counter</t>
  </si>
  <si>
    <t>U.S. Aerial Surveys</t>
  </si>
  <si>
    <t>Canada Aerial Surveys</t>
  </si>
  <si>
    <t>Basin</t>
  </si>
  <si>
    <t>Cabin</t>
  </si>
  <si>
    <t>Muddy</t>
  </si>
  <si>
    <t>Tanis</t>
  </si>
  <si>
    <t>Tatshenshini</t>
  </si>
  <si>
    <t>Neskataheen</t>
  </si>
  <si>
    <t>Village Creek</t>
  </si>
  <si>
    <t>Counter</t>
  </si>
  <si>
    <t>No surveys flown</t>
  </si>
  <si>
    <t>Not conducted</t>
  </si>
  <si>
    <r>
      <t>1999</t>
    </r>
    <r>
      <rPr>
        <vertAlign val="superscript"/>
        <sz val="10"/>
        <rFont val="Times New Roman"/>
        <family val="1"/>
      </rPr>
      <t>a</t>
    </r>
  </si>
  <si>
    <r>
      <t>2008</t>
    </r>
    <r>
      <rPr>
        <vertAlign val="superscript"/>
        <sz val="10"/>
        <rFont val="Times New Roman"/>
        <family val="1"/>
      </rPr>
      <t>a</t>
    </r>
  </si>
  <si>
    <t xml:space="preserve">Appendix E.15.  Klukshu River weir count, harvest, and escapement of coho salmon, 1976-20xx.  </t>
  </si>
  <si>
    <t>Coho salmon counts are partial counts; weir is removed prior to the end of the run.</t>
  </si>
  <si>
    <t xml:space="preserve">Escapement </t>
  </si>
  <si>
    <t>Not enough US fishing to get sufficient samples to produce estimate--need to formalize for final report</t>
  </si>
  <si>
    <t>Inriver Run</t>
  </si>
  <si>
    <t>Percent Klukshu</t>
  </si>
  <si>
    <t>Weir Installed</t>
  </si>
  <si>
    <t xml:space="preserve">Date of Arrival </t>
  </si>
  <si>
    <t>Total Count</t>
  </si>
  <si>
    <t>Total Estimate</t>
  </si>
  <si>
    <t>Date and Expansion</t>
  </si>
  <si>
    <t>For Juvenile Indicator</t>
  </si>
  <si>
    <t>Appendix D 14. Annual sockeye salmon weir counts, escapements, and samples at the Tatsamenie River weir, 1984-20xx.</t>
  </si>
  <si>
    <t>Appendix D 16. Annual sockeye salmon weir counts, escapements, and samples at the King Salmon weir, 1983-20xx.</t>
  </si>
  <si>
    <t>Harvest above weir</t>
  </si>
  <si>
    <t>Appendix D.17.  Taku River sockeye salmon run size, 1984-20xx.</t>
  </si>
  <si>
    <t>Appendix D 15. Annual sockeye salmon weir counts, escapements, and samples at the Little Trapper weir, 1983-20xx.</t>
  </si>
  <si>
    <t xml:space="preserve">Appendix D.7.  Taku River large Chinook salmon run size, 1979-20xx. </t>
  </si>
  <si>
    <t>assessment</t>
  </si>
  <si>
    <t>Appendix D 18. The terminal run reconstruction of Taku River wild and enhanced sockeye salmon, 1984-20xx.</t>
  </si>
  <si>
    <t xml:space="preserve">Appendix D.19.  Annual sockeye salmon escapement estimates of Kuthai Lake and Nahlin River, 1979-20xx.  </t>
  </si>
  <si>
    <t>Appendix D.24  Canyon Island fish wheel salmon counts and periods of operation on the Taku River.</t>
  </si>
  <si>
    <t>hours</t>
  </si>
  <si>
    <t>5/10-9/29</t>
  </si>
  <si>
    <t>5/7-9/30</t>
  </si>
  <si>
    <t>through August 15</t>
  </si>
  <si>
    <t>after August 15</t>
  </si>
  <si>
    <t>Appendix E.12.  Alsek River sockeye salmon escapement, 2000-2006, 2012-20xx.</t>
  </si>
  <si>
    <t>Above Border Run</t>
  </si>
  <si>
    <t>CI</t>
  </si>
  <si>
    <t>Spawning Escapement</t>
  </si>
  <si>
    <t>MR</t>
  </si>
  <si>
    <t>GSI</t>
  </si>
  <si>
    <t>Escapement + Broodstock</t>
  </si>
  <si>
    <t>Appendix B 24.  Estimated proportion of inriver run comprised of Tahltan, Tuya, and mainstem sockeye</t>
  </si>
  <si>
    <t>Other</t>
  </si>
  <si>
    <t xml:space="preserve">Appendix B 25.  Aerial survey counts of Mainstem sockeye stocks in the Stikine River drainage, 1984-20xx.  </t>
  </si>
  <si>
    <t xml:space="preserve">Appendix B.26.  Stikine River sockeye salmon run size, 1979-20xx. </t>
  </si>
  <si>
    <t xml:space="preserve">B 27. Tahltan wild and enhanced sockeye salmon run size, 1994-20xx. </t>
  </si>
  <si>
    <t>Not surveyed</t>
  </si>
  <si>
    <t>Appendix B. 30.  Index counts of Stikine coho salmon escapements, 1984-20xx.  Missing data due to poor survey conditions.</t>
  </si>
  <si>
    <t>Appendix B.32.  Counts of adult sockeye salmon migrating through Tahltan Lake weir, 1959-2xx3.</t>
  </si>
  <si>
    <t>Appendix B.33  Estimates of sockeye salmon smolt migrating through Tahltan Lake smolt weir, 1984-2021</t>
  </si>
  <si>
    <t>First</t>
  </si>
  <si>
    <t>Hatchery</t>
  </si>
  <si>
    <t>6/14 97.5%</t>
  </si>
  <si>
    <t>6/13 96.8%</t>
  </si>
  <si>
    <t>6/05 95.4%</t>
  </si>
  <si>
    <r>
      <t>1987</t>
    </r>
    <r>
      <rPr>
        <vertAlign val="superscript"/>
        <sz val="10"/>
        <rFont val="Times New Roman"/>
        <family val="1"/>
      </rPr>
      <t>a</t>
    </r>
  </si>
  <si>
    <r>
      <t>1990</t>
    </r>
    <r>
      <rPr>
        <vertAlign val="superscript"/>
        <sz val="10"/>
        <rFont val="Times New Roman"/>
        <family val="1"/>
      </rPr>
      <t>b</t>
    </r>
  </si>
  <si>
    <r>
      <t>1991</t>
    </r>
    <r>
      <rPr>
        <vertAlign val="superscript"/>
        <sz val="10"/>
        <rFont val="Times New Roman"/>
        <family val="1"/>
      </rPr>
      <t>c</t>
    </r>
  </si>
  <si>
    <r>
      <t>1992</t>
    </r>
    <r>
      <rPr>
        <vertAlign val="superscript"/>
        <sz val="10"/>
        <rFont val="Times New Roman"/>
        <family val="1"/>
      </rPr>
      <t>d</t>
    </r>
  </si>
  <si>
    <t>a  Estimate includes approximately 30,000 mortalities from overcrowding on May 22, 1987.</t>
  </si>
  <si>
    <t>b  Estimate of 595,147 on June 14 expanded by average % of outmigration by date (97.5%) from historical data.</t>
  </si>
  <si>
    <t>c  Estimate of 1,439,673 on June 13 expanded by average % of outmigration by date (96.8%) from historical data.</t>
  </si>
  <si>
    <t>d  Estimate of 1,516,150 on June 14 expanded by average % of outmigration by date (97.5%) from historical data.</t>
  </si>
  <si>
    <t>e Estimated that 4.6 percent (0.046) of the run missed from 06-15 June, n=70,464</t>
  </si>
  <si>
    <t xml:space="preserve">Appendix B.34.  Weir counts of Chinook salmon at Little Tahltan River, 1985-20xx. </t>
  </si>
  <si>
    <t xml:space="preserve">Appendix B. 13.  Index counts of Large Stikine chinook escapements, 1979-20xx.  </t>
  </si>
  <si>
    <t>Appendix B.12.  Index counts of Stikine chinook escapements, 1979-20xx.  Counts do not include nonlarge Chinook (fish &lt; 660mm mef length).</t>
  </si>
  <si>
    <t>CPUE</t>
  </si>
  <si>
    <t>Did not occur- high water</t>
  </si>
  <si>
    <t>95-23</t>
  </si>
  <si>
    <t>14-23</t>
  </si>
  <si>
    <t>92-23</t>
  </si>
  <si>
    <t>Operating hours--24hr did stop wheels for sampling and repairs--generally sampling twice a day; 16 and 8 hrs ran the fish wheels while sampling and were sampled hourly.</t>
  </si>
  <si>
    <t>Caution for comparisons to long-term average; fish wheels operating hours have changed.</t>
  </si>
  <si>
    <t>Operating</t>
  </si>
  <si>
    <t>Sockeye</t>
  </si>
  <si>
    <t>Credible Intervals</t>
  </si>
  <si>
    <t>84-23</t>
  </si>
  <si>
    <t>video counting starting in 2019.</t>
  </si>
  <si>
    <t>83-23</t>
  </si>
  <si>
    <t xml:space="preserve">Weir count </t>
  </si>
  <si>
    <t>Appendix D 8.  Aerial survey index escapement counts of large (3-ocean and older) Taku River Chinook salmon, 1975-20xx.</t>
  </si>
  <si>
    <t>Tatsatua</t>
  </si>
  <si>
    <t>85-23</t>
  </si>
  <si>
    <t>Large Fish</t>
  </si>
  <si>
    <t>Above Border</t>
  </si>
  <si>
    <t>Run Estimate</t>
  </si>
  <si>
    <t xml:space="preserve">Appendix E.5.  Klukshu River counts, harvest, incidental mortality of harvest, and escapement of all Chinook salmon, 1976-20xx.  </t>
  </si>
  <si>
    <t>A portion of Klukshu River Chinook salmon harvested below weir are accounted for in drainagewide harvest estimate see E.6.</t>
  </si>
  <si>
    <t>Incidental mortality</t>
  </si>
  <si>
    <t>76-23</t>
  </si>
  <si>
    <t>Takhanne River aerial surveys 1984–2008, snorkel surveys from 2018–present</t>
  </si>
  <si>
    <t>Takhanne River</t>
  </si>
  <si>
    <t>Goat Creek</t>
  </si>
  <si>
    <t>Blanchard River Sonar (Large Fish)</t>
  </si>
  <si>
    <t>Counts in Progress</t>
  </si>
  <si>
    <r>
      <t>a</t>
    </r>
    <r>
      <rPr>
        <sz val="10"/>
        <rFont val="Times New Roman"/>
        <family val="1"/>
      </rPr>
      <t xml:space="preserve"> Late survey date which missed the peak of spawning.</t>
    </r>
  </si>
  <si>
    <t>A portion of Klukshu River sockeye salmon harvested below weir are accounted for</t>
  </si>
  <si>
    <t>in drainagewide estimate see E.10. Video camera in use since 2016.</t>
  </si>
  <si>
    <t>86-23</t>
  </si>
  <si>
    <r>
      <t>a</t>
    </r>
    <r>
      <rPr>
        <sz val="10"/>
        <rFont val="Times New Roman"/>
        <family val="1"/>
      </rPr>
      <t>No counts due to malfunction of the counter</t>
    </r>
  </si>
  <si>
    <r>
      <t>a</t>
    </r>
    <r>
      <rPr>
        <sz val="10"/>
        <rFont val="Times New Roman"/>
        <family val="1"/>
      </rPr>
      <t>escapement includes an estimate of mortality that occurred at the Tahltan landslide: (24,459*0.5335(prop. Tahltan Chinook)*0.70(mortality at landslide)=9,134</t>
    </r>
  </si>
  <si>
    <t>Tahltan</t>
  </si>
  <si>
    <r>
      <t>2014</t>
    </r>
    <r>
      <rPr>
        <vertAlign val="superscript"/>
        <sz val="10"/>
        <rFont val="Times New Roman"/>
        <family val="1"/>
      </rPr>
      <t>a</t>
    </r>
  </si>
  <si>
    <r>
      <t>a</t>
    </r>
    <r>
      <rPr>
        <sz val="10"/>
        <color rgb="FF000000"/>
        <rFont val="Times New Roman"/>
        <family val="1"/>
      </rPr>
      <t xml:space="preserve">  excludes an estimated mortality of 3,970 Tahltan Lake sockeye as a result of the Tahltan River rockslide.</t>
    </r>
  </si>
  <si>
    <t>Appendix. B 22. Tahltan Lake weir data with enhanced and wild Tahltan fish, 1979-20xx.</t>
  </si>
  <si>
    <t xml:space="preserve">and the All tahltan estimate was oftened averaged. The estimates are from </t>
  </si>
  <si>
    <t>LRCF, assessment, or average of LRCF and assessment. Since 2021 they are from Kakwan</t>
  </si>
  <si>
    <t>gsi other assigned to not Tahltan (mainstem)</t>
  </si>
  <si>
    <t>excluding Tuya and other</t>
  </si>
  <si>
    <t xml:space="preserve">Tahltan </t>
  </si>
  <si>
    <t>not Tahltan (mainstem)</t>
  </si>
  <si>
    <t>79-23</t>
  </si>
  <si>
    <t xml:space="preserve">Harvest includes assessment and assesment fisheries and otolith samples and escapement includes fish later captured for broodstock. In 2021, stock comp harvest method changes assigns all non-Stikine fish to not Taltan (mainstem) fish. </t>
  </si>
  <si>
    <t>Stikine Not Tahtlan (Mainstem)</t>
  </si>
  <si>
    <t>All Tahltan + Not Tahltan (Mainstem)</t>
  </si>
  <si>
    <r>
      <t xml:space="preserve">a  </t>
    </r>
    <r>
      <rPr>
        <sz val="10"/>
        <color rgb="FF000000"/>
        <rFont val="Times New Roman"/>
        <family val="1"/>
      </rPr>
      <t>Veiwing conditions at the Craig River site were poor in 2004 and 2010.</t>
    </r>
  </si>
  <si>
    <t>without</t>
  </si>
  <si>
    <r>
      <t>b</t>
    </r>
    <r>
      <rPr>
        <sz val="10"/>
        <color rgb="FF000000"/>
        <rFont val="Times New Roman"/>
        <family val="1"/>
      </rPr>
      <t xml:space="preserve"> West Katete and Katete not survey due to inclement weather</t>
    </r>
  </si>
  <si>
    <t>samples</t>
  </si>
  <si>
    <r>
      <t xml:space="preserve">c </t>
    </r>
    <r>
      <rPr>
        <sz val="10"/>
        <color rgb="FF000000"/>
        <rFont val="Times New Roman"/>
        <family val="1"/>
      </rPr>
      <t xml:space="preserve"> aborted to due ice condtions and inclement weather</t>
    </r>
  </si>
  <si>
    <r>
      <t>1965</t>
    </r>
    <r>
      <rPr>
        <vertAlign val="superscript"/>
        <sz val="10"/>
        <color rgb="FF000000"/>
        <rFont val="Times New Roman"/>
        <family val="1"/>
      </rPr>
      <t>a</t>
    </r>
  </si>
  <si>
    <t>59-23</t>
  </si>
  <si>
    <t>Expansion</t>
  </si>
  <si>
    <r>
      <t>2014</t>
    </r>
    <r>
      <rPr>
        <vertAlign val="superscript"/>
        <sz val="10"/>
        <color rgb="FF000000"/>
        <rFont val="Times New Roman"/>
        <family val="1"/>
      </rPr>
      <t>a</t>
    </r>
  </si>
  <si>
    <r>
      <t>a</t>
    </r>
    <r>
      <rPr>
        <sz val="10"/>
        <color rgb="FF000000"/>
        <rFont val="Times New Roman"/>
        <family val="1"/>
      </rPr>
      <t>Landslide mortality estimate of Little Tahltan Chinook salmon 70% of reduction of 12% of harvest in FN fishery</t>
    </r>
  </si>
  <si>
    <t>Appendix D. 22. Historic Taku River coho salmon terminal run size, 1987-20xx.</t>
  </si>
  <si>
    <t>The run estimates do not include spawning escapements below the U.S./Canada border.  Estimates are expanded if mark-recapture activities terminate prior to run completion.</t>
  </si>
  <si>
    <t>Terminal abundance only includes U.S. District 111 commercial drift gillnet fishery harvest</t>
  </si>
  <si>
    <t>Terminal Run</t>
  </si>
  <si>
    <t>End</t>
  </si>
  <si>
    <t>Expanded</t>
  </si>
  <si>
    <t>Factor</t>
  </si>
  <si>
    <t>Escape.</t>
  </si>
  <si>
    <t>assessment Fish CPUE</t>
  </si>
  <si>
    <t>District 111-32 CPUE</t>
  </si>
  <si>
    <t>Troll CPUE</t>
  </si>
  <si>
    <t>no expansion</t>
  </si>
  <si>
    <t>CYI run timing</t>
  </si>
  <si>
    <t>87-23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</si>
</sst>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\-mmm;@"/>
    <numFmt numFmtId="166" formatCode="dd\-mmm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8"/>
      <name val="Times New Roman"/>
      <family val="1"/>
    </font>
    <font>
      <u val="singleAccounting"/>
      <sz val="8"/>
      <name val="Times New Roman"/>
      <family val="1"/>
    </font>
    <font>
      <u val="singleAccounting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sz val="9"/>
      <name val="Times New Roman"/>
      <family val="1"/>
    </font>
    <font>
      <u val="singleAccounting"/>
      <sz val="9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rgb="FF00B05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2"/>
    </font>
    <font>
      <sz val="10"/>
      <color theme="1"/>
      <name val="Calibri"/>
      <family val="2"/>
      <scheme val="minor"/>
    </font>
    <font>
      <sz val="10"/>
      <color rgb="FF993366"/>
      <name val="Times New Roman"/>
      <family val="1"/>
    </font>
    <font>
      <vertAlign val="superscript"/>
      <sz val="10"/>
      <color rgb="FF000000"/>
      <name val="Times New Roman"/>
      <family val="1"/>
    </font>
    <font>
      <u val="singleAccounting"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595959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23" fillId="0" borderId="0"/>
    <xf numFmtId="0" fontId="24" fillId="0" borderId="0"/>
  </cellStyleXfs>
  <cellXfs count="22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16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5" fillId="0" borderId="0" xfId="1" applyAlignment="1">
      <alignment horizontal="left" vertical="top"/>
    </xf>
    <xf numFmtId="0" fontId="16" fillId="0" borderId="0" xfId="1" applyFont="1" applyAlignment="1">
      <alignment horizontal="left" vertical="top"/>
    </xf>
    <xf numFmtId="0" fontId="0" fillId="2" borderId="0" xfId="0" applyFill="1"/>
    <xf numFmtId="3" fontId="0" fillId="0" borderId="0" xfId="0" applyNumberFormat="1"/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2" fillId="0" borderId="4" xfId="1" applyFont="1" applyBorder="1" applyAlignment="1">
      <alignment horizontal="left" vertical="top" wrapText="1"/>
    </xf>
    <xf numFmtId="0" fontId="12" fillId="0" borderId="4" xfId="1" applyFont="1" applyBorder="1" applyAlignment="1">
      <alignment horizontal="right" vertical="top" wrapText="1"/>
    </xf>
    <xf numFmtId="0" fontId="12" fillId="0" borderId="6" xfId="1" applyFont="1" applyBorder="1" applyAlignment="1">
      <alignment horizontal="right" vertical="top" wrapText="1" indent="1"/>
    </xf>
    <xf numFmtId="9" fontId="17" fillId="0" borderId="6" xfId="1" applyNumberFormat="1" applyFont="1" applyBorder="1" applyAlignment="1">
      <alignment horizontal="right" vertical="top" indent="1" shrinkToFit="1"/>
    </xf>
    <xf numFmtId="0" fontId="12" fillId="0" borderId="4" xfId="1" applyFont="1" applyBorder="1" applyAlignment="1">
      <alignment horizontal="right" vertical="top" wrapText="1" indent="2"/>
    </xf>
    <xf numFmtId="0" fontId="12" fillId="0" borderId="4" xfId="1" applyFont="1" applyBorder="1" applyAlignment="1">
      <alignment horizontal="right" vertical="top" wrapText="1" indent="1"/>
    </xf>
    <xf numFmtId="0" fontId="12" fillId="0" borderId="4" xfId="1" applyFont="1" applyBorder="1" applyAlignment="1">
      <alignment horizontal="center" vertical="top" wrapText="1"/>
    </xf>
    <xf numFmtId="0" fontId="18" fillId="0" borderId="0" xfId="0" applyFont="1"/>
    <xf numFmtId="1" fontId="17" fillId="0" borderId="5" xfId="1" applyNumberFormat="1" applyFont="1" applyBorder="1" applyAlignment="1">
      <alignment horizontal="left" vertical="top" shrinkToFit="1"/>
    </xf>
    <xf numFmtId="0" fontId="15" fillId="0" borderId="5" xfId="1" applyBorder="1" applyAlignment="1">
      <alignment horizontal="left" wrapText="1"/>
    </xf>
    <xf numFmtId="3" fontId="17" fillId="0" borderId="5" xfId="1" applyNumberFormat="1" applyFont="1" applyBorder="1" applyAlignment="1">
      <alignment horizontal="right" vertical="top" shrinkToFit="1"/>
    </xf>
    <xf numFmtId="1" fontId="17" fillId="0" borderId="0" xfId="1" applyNumberFormat="1" applyFont="1" applyAlignment="1">
      <alignment horizontal="left" vertical="top" shrinkToFit="1"/>
    </xf>
    <xf numFmtId="0" fontId="15" fillId="0" borderId="0" xfId="1" applyAlignment="1">
      <alignment horizontal="left" wrapText="1"/>
    </xf>
    <xf numFmtId="3" fontId="17" fillId="0" borderId="0" xfId="1" applyNumberFormat="1" applyFont="1" applyAlignment="1">
      <alignment horizontal="right" vertical="top" shrinkToFit="1"/>
    </xf>
    <xf numFmtId="0" fontId="12" fillId="0" borderId="0" xfId="1" applyFont="1" applyAlignment="1">
      <alignment horizontal="left" vertical="top" wrapText="1"/>
    </xf>
    <xf numFmtId="3" fontId="17" fillId="0" borderId="0" xfId="1" applyNumberFormat="1" applyFont="1" applyAlignment="1">
      <alignment horizontal="right" vertical="top" indent="2" shrinkToFit="1"/>
    </xf>
    <xf numFmtId="0" fontId="12" fillId="0" borderId="0" xfId="1" applyFont="1" applyAlignment="1">
      <alignment horizontal="right" vertical="top" wrapText="1" indent="1"/>
    </xf>
    <xf numFmtId="3" fontId="17" fillId="0" borderId="0" xfId="1" applyNumberFormat="1" applyFont="1" applyAlignment="1">
      <alignment horizontal="center" vertical="top" shrinkToFit="1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3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left"/>
    </xf>
    <xf numFmtId="0" fontId="9" fillId="3" borderId="1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9" fillId="3" borderId="1" xfId="0" applyFont="1" applyFill="1" applyBorder="1"/>
    <xf numFmtId="0" fontId="9" fillId="0" borderId="3" xfId="0" applyFont="1" applyBorder="1"/>
    <xf numFmtId="0" fontId="0" fillId="0" borderId="3" xfId="0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0" fontId="12" fillId="0" borderId="0" xfId="0" applyFont="1"/>
    <xf numFmtId="9" fontId="9" fillId="3" borderId="0" xfId="0" applyNumberFormat="1" applyFont="1" applyFill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6" fontId="9" fillId="3" borderId="0" xfId="0" applyNumberFormat="1" applyFont="1" applyFill="1" applyAlignment="1">
      <alignment horizontal="center"/>
    </xf>
    <xf numFmtId="16" fontId="9" fillId="3" borderId="1" xfId="0" applyNumberFormat="1" applyFont="1" applyFill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0" fontId="9" fillId="0" borderId="2" xfId="0" applyFont="1" applyBorder="1"/>
    <xf numFmtId="0" fontId="11" fillId="3" borderId="0" xfId="0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0" fontId="10" fillId="0" borderId="2" xfId="0" applyFont="1" applyBorder="1"/>
    <xf numFmtId="0" fontId="9" fillId="3" borderId="0" xfId="0" applyFont="1" applyFill="1" applyAlignment="1">
      <alignment horizontal="right" vertical="center"/>
    </xf>
    <xf numFmtId="3" fontId="9" fillId="3" borderId="0" xfId="0" applyNumberFormat="1" applyFont="1" applyFill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/>
    </xf>
    <xf numFmtId="3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3" xfId="0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12" fillId="0" borderId="3" xfId="0" applyFont="1" applyBorder="1" applyAlignment="1">
      <alignment horizontal="left"/>
    </xf>
    <xf numFmtId="0" fontId="6" fillId="0" borderId="0" xfId="0" applyFont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3" fontId="12" fillId="3" borderId="0" xfId="0" applyNumberFormat="1" applyFont="1" applyFill="1" applyAlignment="1">
      <alignment horizontal="center"/>
    </xf>
    <xf numFmtId="3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3" borderId="0" xfId="0" applyFont="1" applyFill="1" applyAlignment="1">
      <alignment horizontal="left"/>
    </xf>
    <xf numFmtId="0" fontId="15" fillId="3" borderId="1" xfId="0" applyFont="1" applyFill="1" applyBorder="1" applyAlignment="1">
      <alignment horizontal="left"/>
    </xf>
    <xf numFmtId="0" fontId="15" fillId="0" borderId="0" xfId="0" applyFont="1"/>
    <xf numFmtId="0" fontId="8" fillId="0" borderId="0" xfId="0" applyFont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2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10" fontId="12" fillId="3" borderId="0" xfId="0" applyNumberFormat="1" applyFont="1" applyFill="1" applyAlignment="1">
      <alignment horizontal="center"/>
    </xf>
    <xf numFmtId="10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9" fontId="12" fillId="3" borderId="1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left"/>
    </xf>
    <xf numFmtId="3" fontId="15" fillId="3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0" fontId="15" fillId="3" borderId="0" xfId="0" applyFont="1" applyFill="1" applyAlignment="1">
      <alignment horizontal="center"/>
    </xf>
    <xf numFmtId="3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3" fontId="15" fillId="0" borderId="1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 applyAlignment="1">
      <alignment horizontal="center"/>
    </xf>
    <xf numFmtId="3" fontId="15" fillId="5" borderId="0" xfId="0" applyNumberFormat="1" applyFont="1" applyFill="1" applyAlignment="1">
      <alignment horizontal="center"/>
    </xf>
    <xf numFmtId="3" fontId="15" fillId="5" borderId="1" xfId="0" applyNumberFormat="1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22" fillId="0" borderId="0" xfId="0" applyFont="1"/>
    <xf numFmtId="0" fontId="15" fillId="0" borderId="0" xfId="0" applyFont="1" applyAlignment="1">
      <alignment horizontal="right"/>
    </xf>
    <xf numFmtId="16" fontId="15" fillId="0" borderId="0" xfId="0" applyNumberFormat="1" applyFont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9" fontId="15" fillId="0" borderId="1" xfId="0" applyNumberFormat="1" applyFont="1" applyBorder="1" applyAlignment="1">
      <alignment horizontal="center"/>
    </xf>
    <xf numFmtId="16" fontId="12" fillId="0" borderId="0" xfId="0" applyNumberFormat="1" applyFont="1" applyAlignment="1">
      <alignment horizontal="right"/>
    </xf>
    <xf numFmtId="16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3" fontId="15" fillId="3" borderId="0" xfId="0" applyNumberFormat="1" applyFont="1" applyFill="1" applyAlignment="1">
      <alignment horizontal="right"/>
    </xf>
    <xf numFmtId="16" fontId="12" fillId="0" borderId="0" xfId="0" applyNumberFormat="1" applyFont="1"/>
    <xf numFmtId="3" fontId="12" fillId="0" borderId="0" xfId="0" applyNumberFormat="1" applyFont="1" applyAlignment="1">
      <alignment horizontal="right"/>
    </xf>
    <xf numFmtId="3" fontId="15" fillId="0" borderId="0" xfId="0" applyNumberFormat="1" applyFont="1"/>
    <xf numFmtId="3" fontId="12" fillId="0" borderId="0" xfId="0" applyNumberFormat="1" applyFont="1"/>
    <xf numFmtId="16" fontId="15" fillId="0" borderId="4" xfId="0" applyNumberFormat="1" applyFont="1" applyBorder="1" applyAlignment="1">
      <alignment horizontal="right"/>
    </xf>
    <xf numFmtId="3" fontId="15" fillId="3" borderId="1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horizontal="right"/>
    </xf>
    <xf numFmtId="16" fontId="15" fillId="3" borderId="0" xfId="0" applyNumberFormat="1" applyFont="1" applyFill="1" applyAlignment="1">
      <alignment horizontal="right"/>
    </xf>
    <xf numFmtId="0" fontId="15" fillId="3" borderId="0" xfId="0" applyFont="1" applyFill="1" applyAlignment="1">
      <alignment horizontal="right"/>
    </xf>
    <xf numFmtId="16" fontId="15" fillId="3" borderId="1" xfId="0" applyNumberFormat="1" applyFont="1" applyFill="1" applyBorder="1" applyAlignment="1">
      <alignment horizontal="right"/>
    </xf>
    <xf numFmtId="16" fontId="15" fillId="0" borderId="4" xfId="0" applyNumberFormat="1" applyFont="1" applyBorder="1" applyAlignment="1">
      <alignment horizontal="center"/>
    </xf>
    <xf numFmtId="9" fontId="15" fillId="0" borderId="1" xfId="0" applyNumberFormat="1" applyFont="1" applyBorder="1" applyAlignment="1">
      <alignment horizontal="right"/>
    </xf>
    <xf numFmtId="3" fontId="12" fillId="3" borderId="0" xfId="0" applyNumberFormat="1" applyFont="1" applyFill="1" applyAlignment="1">
      <alignment horizontal="right"/>
    </xf>
    <xf numFmtId="16" fontId="15" fillId="0" borderId="0" xfId="0" applyNumberFormat="1" applyFont="1"/>
    <xf numFmtId="0" fontId="12" fillId="3" borderId="0" xfId="0" applyFont="1" applyFill="1" applyAlignment="1">
      <alignment horizontal="right"/>
    </xf>
    <xf numFmtId="16" fontId="15" fillId="0" borderId="4" xfId="0" applyNumberFormat="1" applyFont="1" applyBorder="1"/>
    <xf numFmtId="16" fontId="12" fillId="0" borderId="4" xfId="0" applyNumberFormat="1" applyFont="1" applyBorder="1"/>
    <xf numFmtId="0" fontId="12" fillId="3" borderId="1" xfId="0" applyFont="1" applyFill="1" applyBorder="1" applyAlignment="1">
      <alignment horizontal="right"/>
    </xf>
    <xf numFmtId="0" fontId="22" fillId="0" borderId="0" xfId="0" applyFont="1" applyAlignment="1">
      <alignment horizontal="left"/>
    </xf>
    <xf numFmtId="3" fontId="4" fillId="0" borderId="2" xfId="0" applyNumberFormat="1" applyFont="1" applyBorder="1" applyAlignment="1">
      <alignment horizontal="center"/>
    </xf>
    <xf numFmtId="16" fontId="4" fillId="0" borderId="0" xfId="0" applyNumberFormat="1" applyFont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" fontId="4" fillId="3" borderId="0" xfId="0" applyNumberFormat="1" applyFont="1" applyFill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15" fillId="3" borderId="2" xfId="0" applyFont="1" applyFill="1" applyBorder="1" applyAlignment="1">
      <alignment horizontal="left"/>
    </xf>
    <xf numFmtId="3" fontId="2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0" xfId="0" applyFont="1"/>
    <xf numFmtId="0" fontId="9" fillId="0" borderId="2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/>
    <xf numFmtId="0" fontId="10" fillId="0" borderId="0" xfId="0" applyFont="1" applyAlignment="1">
      <alignment horizontal="center"/>
    </xf>
    <xf numFmtId="0" fontId="9" fillId="0" borderId="3" xfId="0" applyFont="1" applyBorder="1"/>
    <xf numFmtId="0" fontId="9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3" fontId="4" fillId="0" borderId="0" xfId="0" applyNumberFormat="1" applyFont="1"/>
    <xf numFmtId="0" fontId="4" fillId="0" borderId="3" xfId="0" applyFont="1" applyBorder="1"/>
  </cellXfs>
  <cellStyles count="4">
    <cellStyle name="Normal" xfId="0" builtinId="0"/>
    <cellStyle name="Normal 2" xfId="1" xr:uid="{29C6C4F9-FADC-4E6E-8613-BC2914A43D63}"/>
    <cellStyle name="Normal 2 2" xfId="2" xr:uid="{0AF8EF16-EECE-47AE-B25F-7AC80C472093}"/>
    <cellStyle name="Normal 3" xfId="3" xr:uid="{EA07E33F-9645-41B0-8C60-799E1489D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topLeftCell="A17" workbookViewId="0">
      <selection activeCell="G28" sqref="G28"/>
    </sheetView>
  </sheetViews>
  <sheetFormatPr baseColWidth="10" defaultColWidth="9.1640625" defaultRowHeight="13" x14ac:dyDescent="0.15"/>
  <cols>
    <col min="1" max="1" width="12.33203125" style="2" customWidth="1"/>
    <col min="2" max="2" width="16.33203125" style="2" customWidth="1"/>
    <col min="3" max="3" width="6.5" style="2" customWidth="1"/>
    <col min="4" max="4" width="9.1640625" style="2"/>
    <col min="5" max="5" width="13" style="2" customWidth="1"/>
    <col min="6" max="7" width="9.1640625" style="2"/>
    <col min="8" max="8" width="48.6640625" style="2" customWidth="1"/>
    <col min="9" max="9" width="12.33203125" style="2" customWidth="1"/>
    <col min="10" max="10" width="12.83203125" style="2" customWidth="1"/>
    <col min="11" max="14" width="9.5" style="2" customWidth="1"/>
    <col min="15" max="15" width="22.5" style="2" customWidth="1"/>
    <col min="16" max="16384" width="9.1640625" style="2"/>
  </cols>
  <sheetData>
    <row r="1" spans="1:16" x14ac:dyDescent="0.15">
      <c r="A1" s="1" t="s">
        <v>298</v>
      </c>
    </row>
    <row r="2" spans="1:16" x14ac:dyDescent="0.15">
      <c r="A2" s="3" t="s">
        <v>0</v>
      </c>
    </row>
    <row r="3" spans="1:16" x14ac:dyDescent="0.15">
      <c r="A3" s="3" t="s">
        <v>1</v>
      </c>
      <c r="I3" s="102" t="s">
        <v>297</v>
      </c>
      <c r="J3" s="41"/>
      <c r="K3" s="41"/>
      <c r="L3" s="41"/>
      <c r="M3" s="41"/>
      <c r="N3" s="41"/>
      <c r="O3" s="41"/>
      <c r="P3" s="41"/>
    </row>
    <row r="4" spans="1:16" ht="16" x14ac:dyDescent="0.3">
      <c r="A4" s="4"/>
      <c r="B4" s="4" t="s">
        <v>2</v>
      </c>
      <c r="C4" s="4"/>
      <c r="D4" s="4" t="s">
        <v>3</v>
      </c>
      <c r="E4" s="4"/>
      <c r="F4" s="4" t="s">
        <v>4</v>
      </c>
      <c r="G4" s="4" t="s">
        <v>5</v>
      </c>
      <c r="I4" s="40"/>
      <c r="J4" s="38" t="s">
        <v>6</v>
      </c>
      <c r="K4" s="193" t="s">
        <v>7</v>
      </c>
      <c r="L4" s="193"/>
      <c r="M4" s="38" t="s">
        <v>334</v>
      </c>
      <c r="N4" s="38" t="s">
        <v>8</v>
      </c>
      <c r="O4" s="38" t="s">
        <v>9</v>
      </c>
      <c r="P4" s="38" t="s">
        <v>9</v>
      </c>
    </row>
    <row r="5" spans="1:16" x14ac:dyDescent="0.15">
      <c r="A5" s="5" t="s">
        <v>10</v>
      </c>
      <c r="B5" s="5" t="s">
        <v>11</v>
      </c>
      <c r="C5" s="5"/>
      <c r="D5" s="5" t="s">
        <v>12</v>
      </c>
      <c r="E5" s="5" t="s">
        <v>13</v>
      </c>
      <c r="F5" s="5" t="s">
        <v>12</v>
      </c>
      <c r="G5" s="5" t="s">
        <v>14</v>
      </c>
      <c r="I5" s="102" t="s">
        <v>10</v>
      </c>
      <c r="J5" s="41" t="s">
        <v>7</v>
      </c>
      <c r="K5" s="41" t="s">
        <v>15</v>
      </c>
      <c r="L5" s="41" t="s">
        <v>16</v>
      </c>
      <c r="M5" s="41" t="s">
        <v>22</v>
      </c>
      <c r="N5" s="41" t="s">
        <v>16</v>
      </c>
      <c r="O5" s="41" t="s">
        <v>17</v>
      </c>
      <c r="P5" s="41" t="s">
        <v>18</v>
      </c>
    </row>
    <row r="6" spans="1:16" x14ac:dyDescent="0.15">
      <c r="A6" s="2">
        <v>1979</v>
      </c>
      <c r="B6" s="6"/>
      <c r="C6" s="6"/>
      <c r="D6" s="6"/>
      <c r="E6" s="6"/>
      <c r="F6" s="6"/>
      <c r="G6" s="6"/>
      <c r="H6" s="6"/>
      <c r="I6" s="40">
        <v>1979</v>
      </c>
      <c r="J6" s="38"/>
      <c r="K6" s="38"/>
      <c r="L6" s="39">
        <v>1166</v>
      </c>
      <c r="M6" s="39">
        <v>2118</v>
      </c>
      <c r="N6" s="38"/>
      <c r="O6" s="38">
        <v>327</v>
      </c>
      <c r="P6" s="40" t="s">
        <v>19</v>
      </c>
    </row>
    <row r="7" spans="1:16" x14ac:dyDescent="0.15">
      <c r="A7" s="2">
        <v>1980</v>
      </c>
      <c r="B7" s="6"/>
      <c r="C7" s="6"/>
      <c r="D7" s="6"/>
      <c r="E7" s="6"/>
      <c r="F7" s="6"/>
      <c r="G7" s="6"/>
      <c r="H7" s="6"/>
      <c r="I7" s="40">
        <v>1980</v>
      </c>
      <c r="J7" s="38"/>
      <c r="K7" s="38"/>
      <c r="L7" s="39">
        <v>2137</v>
      </c>
      <c r="M7" s="38">
        <v>960</v>
      </c>
      <c r="N7" s="38">
        <v>122</v>
      </c>
      <c r="O7" s="38">
        <v>282</v>
      </c>
      <c r="P7" s="40" t="s">
        <v>19</v>
      </c>
    </row>
    <row r="8" spans="1:16" x14ac:dyDescent="0.15">
      <c r="A8" s="2">
        <v>1981</v>
      </c>
      <c r="B8" s="6"/>
      <c r="C8" s="6"/>
      <c r="D8" s="6"/>
      <c r="E8" s="6"/>
      <c r="F8" s="6"/>
      <c r="G8" s="6"/>
      <c r="H8" s="6"/>
      <c r="I8" s="40">
        <v>1981</v>
      </c>
      <c r="J8" s="38"/>
      <c r="K8" s="38"/>
      <c r="L8" s="39">
        <v>3334</v>
      </c>
      <c r="M8" s="39">
        <v>1852</v>
      </c>
      <c r="N8" s="38">
        <v>558</v>
      </c>
      <c r="O8" s="38">
        <v>536</v>
      </c>
      <c r="P8" s="40" t="s">
        <v>19</v>
      </c>
    </row>
    <row r="9" spans="1:16" x14ac:dyDescent="0.15">
      <c r="A9" s="2">
        <v>1982</v>
      </c>
      <c r="B9" s="6"/>
      <c r="C9" s="6"/>
      <c r="D9" s="6"/>
      <c r="E9" s="6"/>
      <c r="F9" s="6"/>
      <c r="G9" s="6"/>
      <c r="H9" s="6"/>
      <c r="I9" s="40">
        <v>1982</v>
      </c>
      <c r="J9" s="38"/>
      <c r="K9" s="38"/>
      <c r="L9" s="39">
        <v>2830</v>
      </c>
      <c r="M9" s="39">
        <v>1690</v>
      </c>
      <c r="N9" s="38">
        <v>567</v>
      </c>
      <c r="O9" s="38">
        <v>672</v>
      </c>
      <c r="P9" s="40" t="s">
        <v>19</v>
      </c>
    </row>
    <row r="10" spans="1:16" x14ac:dyDescent="0.15">
      <c r="A10" s="2">
        <v>1983</v>
      </c>
      <c r="B10" s="6"/>
      <c r="C10" s="6"/>
      <c r="D10" s="6"/>
      <c r="E10" s="6"/>
      <c r="F10" s="6"/>
      <c r="G10" s="6"/>
      <c r="H10" s="6"/>
      <c r="I10" s="40">
        <v>1983</v>
      </c>
      <c r="J10" s="38"/>
      <c r="K10" s="38"/>
      <c r="L10" s="38">
        <v>594</v>
      </c>
      <c r="M10" s="38">
        <v>453</v>
      </c>
      <c r="N10" s="38">
        <v>83</v>
      </c>
      <c r="O10" s="38">
        <v>366</v>
      </c>
      <c r="P10" s="40" t="s">
        <v>19</v>
      </c>
    </row>
    <row r="11" spans="1:16" x14ac:dyDescent="0.15">
      <c r="A11" s="2">
        <v>1984</v>
      </c>
      <c r="B11" s="6"/>
      <c r="C11" s="6"/>
      <c r="D11" s="6"/>
      <c r="E11" s="6"/>
      <c r="F11" s="6"/>
      <c r="G11" s="6"/>
      <c r="H11" s="6"/>
      <c r="I11" s="40">
        <v>1984</v>
      </c>
      <c r="J11" s="38"/>
      <c r="K11" s="38"/>
      <c r="L11" s="39">
        <v>1294</v>
      </c>
      <c r="M11" s="38"/>
      <c r="N11" s="38">
        <v>126</v>
      </c>
      <c r="O11" s="38">
        <v>389</v>
      </c>
      <c r="P11" s="40" t="s">
        <v>19</v>
      </c>
    </row>
    <row r="12" spans="1:16" x14ac:dyDescent="0.15">
      <c r="A12" s="2">
        <v>1985</v>
      </c>
      <c r="B12" s="6"/>
      <c r="C12" s="6"/>
      <c r="D12" s="6"/>
      <c r="E12" s="6"/>
      <c r="F12" s="6"/>
      <c r="G12" s="6"/>
      <c r="H12" s="6"/>
      <c r="I12" s="40">
        <v>1985</v>
      </c>
      <c r="J12" s="38"/>
      <c r="K12" s="113">
        <v>3114</v>
      </c>
      <c r="L12" s="39">
        <v>1598</v>
      </c>
      <c r="M12" s="39">
        <v>1490</v>
      </c>
      <c r="N12" s="38">
        <v>147</v>
      </c>
      <c r="O12" s="38">
        <v>624</v>
      </c>
      <c r="P12" s="40" t="s">
        <v>20</v>
      </c>
    </row>
    <row r="13" spans="1:16" x14ac:dyDescent="0.15">
      <c r="A13" s="2">
        <v>1986</v>
      </c>
      <c r="B13" s="6"/>
      <c r="C13" s="6"/>
      <c r="D13" s="6"/>
      <c r="E13" s="6"/>
      <c r="F13" s="6"/>
      <c r="G13" s="6"/>
      <c r="H13" s="6"/>
      <c r="I13" s="40">
        <v>1986</v>
      </c>
      <c r="J13" s="38"/>
      <c r="K13" s="113">
        <v>2891</v>
      </c>
      <c r="L13" s="39">
        <v>1201</v>
      </c>
      <c r="M13" s="39">
        <v>1400</v>
      </c>
      <c r="N13" s="38">
        <v>183</v>
      </c>
      <c r="O13" s="39">
        <v>1381</v>
      </c>
      <c r="P13" s="40" t="s">
        <v>20</v>
      </c>
    </row>
    <row r="14" spans="1:16" x14ac:dyDescent="0.15">
      <c r="A14" s="2">
        <v>1987</v>
      </c>
      <c r="B14" s="6"/>
      <c r="C14" s="6"/>
      <c r="D14" s="6"/>
      <c r="E14" s="6"/>
      <c r="F14" s="6"/>
      <c r="G14" s="6"/>
      <c r="H14" s="6"/>
      <c r="I14" s="40">
        <v>1987</v>
      </c>
      <c r="J14" s="38"/>
      <c r="K14" s="113">
        <v>4783</v>
      </c>
      <c r="L14" s="39">
        <v>2706</v>
      </c>
      <c r="M14" s="39">
        <v>1390</v>
      </c>
      <c r="N14" s="38">
        <v>312</v>
      </c>
      <c r="O14" s="39">
        <v>1537</v>
      </c>
      <c r="P14" s="40" t="s">
        <v>21</v>
      </c>
    </row>
    <row r="15" spans="1:16" x14ac:dyDescent="0.15">
      <c r="A15" s="2">
        <v>1988</v>
      </c>
      <c r="B15" s="6"/>
      <c r="C15" s="6"/>
      <c r="D15" s="6"/>
      <c r="E15" s="6"/>
      <c r="F15" s="6"/>
      <c r="G15" s="6"/>
      <c r="H15" s="6"/>
      <c r="I15" s="40">
        <v>1988</v>
      </c>
      <c r="J15" s="38"/>
      <c r="K15" s="113">
        <v>7292</v>
      </c>
      <c r="L15" s="39">
        <v>3796</v>
      </c>
      <c r="M15" s="39">
        <v>4384</v>
      </c>
      <c r="N15" s="38">
        <v>593</v>
      </c>
      <c r="O15" s="39">
        <v>1100</v>
      </c>
      <c r="P15" s="40" t="s">
        <v>20</v>
      </c>
    </row>
    <row r="16" spans="1:16" x14ac:dyDescent="0.15">
      <c r="A16" s="2">
        <v>1989</v>
      </c>
      <c r="B16" s="6"/>
      <c r="C16" s="6"/>
      <c r="D16" s="6"/>
      <c r="E16" s="6"/>
      <c r="F16" s="6"/>
      <c r="G16" s="6"/>
      <c r="H16" s="6"/>
      <c r="I16" s="40">
        <v>1989</v>
      </c>
      <c r="J16" s="38"/>
      <c r="K16" s="113">
        <v>4715</v>
      </c>
      <c r="L16" s="39">
        <v>2527</v>
      </c>
      <c r="M16" s="38"/>
      <c r="N16" s="38">
        <v>362</v>
      </c>
      <c r="O16" s="39">
        <v>1034</v>
      </c>
      <c r="P16" s="40" t="s">
        <v>22</v>
      </c>
    </row>
    <row r="17" spans="1:16" x14ac:dyDescent="0.15">
      <c r="A17" s="2">
        <v>1990</v>
      </c>
      <c r="B17" s="6"/>
      <c r="C17" s="6"/>
      <c r="D17" s="6"/>
      <c r="E17" s="6"/>
      <c r="F17" s="6"/>
      <c r="G17" s="6"/>
      <c r="H17" s="6"/>
      <c r="I17" s="40">
        <v>1990</v>
      </c>
      <c r="J17" s="38"/>
      <c r="K17" s="113">
        <v>4392</v>
      </c>
      <c r="L17" s="39">
        <v>1755</v>
      </c>
      <c r="M17" s="39">
        <v>2134</v>
      </c>
      <c r="N17" s="38">
        <v>271</v>
      </c>
      <c r="O17" s="39">
        <v>1295</v>
      </c>
      <c r="P17" s="40" t="s">
        <v>20</v>
      </c>
    </row>
    <row r="18" spans="1:16" x14ac:dyDescent="0.15">
      <c r="A18" s="2">
        <v>1991</v>
      </c>
      <c r="B18" s="6"/>
      <c r="C18" s="6"/>
      <c r="D18" s="6"/>
      <c r="E18" s="6"/>
      <c r="F18" s="6"/>
      <c r="G18" s="6"/>
      <c r="H18" s="6"/>
      <c r="I18" s="40">
        <v>1991</v>
      </c>
      <c r="J18" s="38"/>
      <c r="K18" s="113">
        <v>4506</v>
      </c>
      <c r="L18" s="39">
        <v>1768</v>
      </c>
      <c r="M18" s="39">
        <v>2445</v>
      </c>
      <c r="N18" s="38">
        <v>193</v>
      </c>
      <c r="O18" s="38">
        <v>780</v>
      </c>
      <c r="P18" s="40" t="s">
        <v>22</v>
      </c>
    </row>
    <row r="19" spans="1:16" x14ac:dyDescent="0.15">
      <c r="A19" s="2">
        <v>1992</v>
      </c>
      <c r="B19" s="6"/>
      <c r="C19" s="6"/>
      <c r="D19" s="6"/>
      <c r="E19" s="6"/>
      <c r="F19" s="6"/>
      <c r="G19" s="6"/>
      <c r="H19" s="6"/>
      <c r="I19" s="40">
        <v>1992</v>
      </c>
      <c r="J19" s="38"/>
      <c r="K19" s="113">
        <v>6615</v>
      </c>
      <c r="L19" s="39">
        <v>3607</v>
      </c>
      <c r="M19" s="39">
        <v>1891</v>
      </c>
      <c r="N19" s="38">
        <v>362</v>
      </c>
      <c r="O19" s="39">
        <v>1517</v>
      </c>
      <c r="P19" s="40" t="s">
        <v>21</v>
      </c>
    </row>
    <row r="20" spans="1:16" x14ac:dyDescent="0.15">
      <c r="A20" s="2">
        <v>1993</v>
      </c>
      <c r="B20" s="6"/>
      <c r="C20" s="6"/>
      <c r="D20" s="6"/>
      <c r="E20" s="6"/>
      <c r="F20" s="6"/>
      <c r="G20" s="6"/>
      <c r="H20" s="6"/>
      <c r="I20" s="40">
        <v>1993</v>
      </c>
      <c r="J20" s="38"/>
      <c r="K20" s="113">
        <v>11437</v>
      </c>
      <c r="L20" s="39">
        <v>4010</v>
      </c>
      <c r="M20" s="39">
        <v>2249</v>
      </c>
      <c r="N20" s="38">
        <v>757</v>
      </c>
      <c r="O20" s="39">
        <v>2067</v>
      </c>
      <c r="P20" s="40" t="s">
        <v>20</v>
      </c>
    </row>
    <row r="21" spans="1:16" x14ac:dyDescent="0.15">
      <c r="A21" s="2">
        <v>1994</v>
      </c>
      <c r="B21" s="6"/>
      <c r="C21" s="6"/>
      <c r="D21" s="6"/>
      <c r="E21" s="6"/>
      <c r="F21" s="6"/>
      <c r="G21" s="6"/>
      <c r="H21" s="6"/>
      <c r="I21" s="40">
        <v>1994</v>
      </c>
      <c r="J21" s="38"/>
      <c r="K21" s="113">
        <v>6373</v>
      </c>
      <c r="L21" s="39">
        <v>2422</v>
      </c>
      <c r="M21" s="38"/>
      <c r="N21" s="38">
        <v>184</v>
      </c>
      <c r="O21" s="39">
        <v>1115</v>
      </c>
      <c r="P21" s="40" t="s">
        <v>21</v>
      </c>
    </row>
    <row r="22" spans="1:16" x14ac:dyDescent="0.15">
      <c r="A22" s="2">
        <v>1995</v>
      </c>
      <c r="B22" s="6"/>
      <c r="C22" s="6"/>
      <c r="D22" s="6"/>
      <c r="E22" s="6"/>
      <c r="F22" s="6"/>
      <c r="G22" s="6"/>
      <c r="H22" s="6"/>
      <c r="I22" s="40">
        <v>1995</v>
      </c>
      <c r="J22" s="38"/>
      <c r="K22" s="113">
        <v>3072</v>
      </c>
      <c r="L22" s="39">
        <v>1117</v>
      </c>
      <c r="M22" s="38">
        <v>696</v>
      </c>
      <c r="N22" s="38">
        <v>152</v>
      </c>
      <c r="O22" s="38">
        <v>669</v>
      </c>
      <c r="P22" s="40" t="s">
        <v>20</v>
      </c>
    </row>
    <row r="23" spans="1:16" ht="15" x14ac:dyDescent="0.2">
      <c r="A23" s="2">
        <v>1996</v>
      </c>
      <c r="B23" s="6">
        <v>31718</v>
      </c>
      <c r="C23" s="17" t="s">
        <v>270</v>
      </c>
      <c r="D23" s="6">
        <v>2931</v>
      </c>
      <c r="E23" s="6">
        <v>28787</v>
      </c>
      <c r="F23" s="6"/>
      <c r="G23" s="6"/>
      <c r="H23" s="6"/>
      <c r="I23" s="40">
        <v>1996</v>
      </c>
      <c r="J23" s="112">
        <v>0.16700000000000001</v>
      </c>
      <c r="K23" s="113">
        <v>4821</v>
      </c>
      <c r="L23" s="39">
        <v>1920</v>
      </c>
      <c r="M23" s="38">
        <v>772</v>
      </c>
      <c r="N23" s="38">
        <v>218</v>
      </c>
      <c r="O23" s="38">
        <v>653</v>
      </c>
      <c r="P23" s="40" t="s">
        <v>21</v>
      </c>
    </row>
    <row r="24" spans="1:16" ht="15" x14ac:dyDescent="0.2">
      <c r="A24" s="2">
        <v>1997</v>
      </c>
      <c r="B24" s="6">
        <v>31509</v>
      </c>
      <c r="C24" s="17" t="s">
        <v>270</v>
      </c>
      <c r="D24" s="6">
        <v>4701</v>
      </c>
      <c r="E24" s="6">
        <v>26808</v>
      </c>
      <c r="F24" s="6"/>
      <c r="G24" s="6"/>
      <c r="H24" s="6"/>
      <c r="I24" s="40">
        <v>1997</v>
      </c>
      <c r="J24" s="112">
        <v>0.20699999999999999</v>
      </c>
      <c r="K24" s="113">
        <v>5547</v>
      </c>
      <c r="L24" s="39">
        <v>1907</v>
      </c>
      <c r="M24" s="38">
        <v>260</v>
      </c>
      <c r="N24" s="38">
        <v>218</v>
      </c>
      <c r="O24" s="38">
        <v>571</v>
      </c>
      <c r="P24" s="40" t="s">
        <v>20</v>
      </c>
    </row>
    <row r="25" spans="1:16" ht="15" x14ac:dyDescent="0.2">
      <c r="A25" s="2">
        <v>1998</v>
      </c>
      <c r="B25" s="6">
        <v>28133</v>
      </c>
      <c r="C25" s="17" t="s">
        <v>270</v>
      </c>
      <c r="D25" s="6">
        <v>2354</v>
      </c>
      <c r="E25" s="6">
        <v>25779</v>
      </c>
      <c r="F25" s="6"/>
      <c r="G25" s="6"/>
      <c r="H25" s="6"/>
      <c r="I25" s="40">
        <v>1998</v>
      </c>
      <c r="J25" s="112">
        <v>0.189</v>
      </c>
      <c r="K25" s="113">
        <v>4873</v>
      </c>
      <c r="L25" s="39">
        <v>1385</v>
      </c>
      <c r="M25" s="38">
        <v>587</v>
      </c>
      <c r="N25" s="38">
        <v>125</v>
      </c>
      <c r="O25" s="38">
        <v>950</v>
      </c>
      <c r="P25" s="40" t="s">
        <v>20</v>
      </c>
    </row>
    <row r="26" spans="1:16" ht="15" x14ac:dyDescent="0.2">
      <c r="A26" s="2">
        <v>1999</v>
      </c>
      <c r="B26" s="6">
        <v>23716</v>
      </c>
      <c r="C26" s="17" t="s">
        <v>270</v>
      </c>
      <c r="D26" s="6">
        <v>3935</v>
      </c>
      <c r="E26" s="6">
        <v>19781</v>
      </c>
      <c r="F26" s="6"/>
      <c r="G26" s="6"/>
      <c r="H26" s="6"/>
      <c r="I26" s="40">
        <v>1999</v>
      </c>
      <c r="J26" s="112">
        <v>0.23899999999999999</v>
      </c>
      <c r="K26" s="113">
        <v>4733</v>
      </c>
      <c r="L26" s="39">
        <v>1379</v>
      </c>
      <c r="M26" s="38"/>
      <c r="N26" s="38"/>
      <c r="O26" s="39">
        <v>1180</v>
      </c>
      <c r="P26" s="40" t="s">
        <v>22</v>
      </c>
    </row>
    <row r="27" spans="1:16" ht="15" x14ac:dyDescent="0.2">
      <c r="A27" s="2">
        <v>2000</v>
      </c>
      <c r="B27" s="6">
        <v>30301</v>
      </c>
      <c r="C27" s="17" t="s">
        <v>270</v>
      </c>
      <c r="D27" s="6">
        <v>4245</v>
      </c>
      <c r="E27" s="6">
        <v>26056</v>
      </c>
      <c r="F27" s="6"/>
      <c r="G27" s="6"/>
      <c r="H27" s="6"/>
      <c r="I27" s="40">
        <v>2000</v>
      </c>
      <c r="J27" s="112">
        <v>0.254</v>
      </c>
      <c r="K27" s="113">
        <v>6631</v>
      </c>
      <c r="L27" s="39">
        <v>2720</v>
      </c>
      <c r="M27" s="38"/>
      <c r="N27" s="38"/>
      <c r="O27" s="39">
        <v>1346</v>
      </c>
      <c r="P27" s="40" t="s">
        <v>22</v>
      </c>
    </row>
    <row r="28" spans="1:16" ht="15" x14ac:dyDescent="0.2">
      <c r="A28" s="2">
        <v>2001</v>
      </c>
      <c r="B28" s="6">
        <v>66646</v>
      </c>
      <c r="C28" s="17" t="s">
        <v>270</v>
      </c>
      <c r="D28" s="6">
        <v>3517</v>
      </c>
      <c r="E28" s="6">
        <v>63129</v>
      </c>
      <c r="F28" s="6"/>
      <c r="G28" s="6"/>
      <c r="H28" s="6"/>
      <c r="I28" s="40">
        <v>2001</v>
      </c>
      <c r="J28" s="112">
        <v>0.154</v>
      </c>
      <c r="K28" s="113">
        <v>9730</v>
      </c>
      <c r="L28" s="39">
        <v>4258</v>
      </c>
      <c r="M28" s="38"/>
      <c r="N28" s="38"/>
      <c r="O28" s="39">
        <v>2055</v>
      </c>
      <c r="P28" s="40" t="s">
        <v>22</v>
      </c>
    </row>
    <row r="29" spans="1:16" ht="15" x14ac:dyDescent="0.2">
      <c r="A29" s="2">
        <v>2002</v>
      </c>
      <c r="B29" s="6">
        <v>53893</v>
      </c>
      <c r="C29" s="17" t="s">
        <v>270</v>
      </c>
      <c r="D29" s="6">
        <v>3438</v>
      </c>
      <c r="E29" s="6">
        <v>50455</v>
      </c>
      <c r="F29" s="6">
        <v>3587</v>
      </c>
      <c r="G29" s="6">
        <v>57480</v>
      </c>
      <c r="H29" s="6"/>
      <c r="I29" s="40">
        <v>2002</v>
      </c>
      <c r="J29" s="112">
        <v>0.14799999999999999</v>
      </c>
      <c r="K29" s="113">
        <v>7476</v>
      </c>
      <c r="L29" s="40" t="s">
        <v>23</v>
      </c>
      <c r="M29" s="38"/>
      <c r="N29" s="38"/>
      <c r="O29" s="39">
        <v>1708</v>
      </c>
      <c r="P29" s="40" t="s">
        <v>22</v>
      </c>
    </row>
    <row r="30" spans="1:16" ht="15" x14ac:dyDescent="0.2">
      <c r="A30" s="2">
        <v>2003</v>
      </c>
      <c r="B30" s="6">
        <v>49881</v>
      </c>
      <c r="C30" s="17" t="s">
        <v>270</v>
      </c>
      <c r="D30" s="6">
        <v>2866</v>
      </c>
      <c r="E30" s="6">
        <v>47015</v>
      </c>
      <c r="F30" s="6">
        <v>3895</v>
      </c>
      <c r="G30" s="6">
        <v>53776</v>
      </c>
      <c r="H30" s="6"/>
      <c r="I30" s="40">
        <v>2003</v>
      </c>
      <c r="J30" s="112">
        <v>0.13800000000000001</v>
      </c>
      <c r="K30" s="113">
        <v>6492</v>
      </c>
      <c r="L30" s="39">
        <v>1903</v>
      </c>
      <c r="M30" s="38"/>
      <c r="N30" s="38"/>
      <c r="O30" s="39">
        <v>1160</v>
      </c>
      <c r="P30" s="40" t="s">
        <v>20</v>
      </c>
    </row>
    <row r="31" spans="1:16" ht="15" x14ac:dyDescent="0.2">
      <c r="A31" s="2">
        <v>2004</v>
      </c>
      <c r="B31" s="6">
        <v>52538</v>
      </c>
      <c r="C31" s="17" t="s">
        <v>270</v>
      </c>
      <c r="D31" s="6">
        <v>4048.48</v>
      </c>
      <c r="E31" s="6">
        <v>48489.52</v>
      </c>
      <c r="F31" s="6">
        <v>9599</v>
      </c>
      <c r="G31" s="6">
        <v>62137</v>
      </c>
      <c r="H31" s="6"/>
      <c r="I31" s="40">
        <v>2004</v>
      </c>
      <c r="J31" s="112">
        <v>0.33800000000000002</v>
      </c>
      <c r="K31" s="113">
        <v>16381</v>
      </c>
      <c r="L31" s="39">
        <v>6014</v>
      </c>
      <c r="M31" s="38"/>
      <c r="N31" s="38"/>
      <c r="O31" s="39">
        <v>2991</v>
      </c>
      <c r="P31" s="40" t="s">
        <v>20</v>
      </c>
    </row>
    <row r="32" spans="1:16" ht="15" x14ac:dyDescent="0.2">
      <c r="A32" s="2">
        <v>2005</v>
      </c>
      <c r="B32" s="6">
        <v>59885</v>
      </c>
      <c r="C32" s="17" t="s">
        <v>270</v>
      </c>
      <c r="D32" s="6">
        <v>20048.950620902073</v>
      </c>
      <c r="E32" s="6">
        <v>39836.049379097924</v>
      </c>
      <c r="F32" s="6">
        <v>27882</v>
      </c>
      <c r="G32" s="6">
        <v>87767</v>
      </c>
      <c r="H32" s="6"/>
      <c r="I32" s="40">
        <v>2005</v>
      </c>
      <c r="J32" s="112">
        <v>0.185</v>
      </c>
      <c r="K32" s="113">
        <v>7387</v>
      </c>
      <c r="L32" s="38"/>
      <c r="M32" s="38"/>
      <c r="N32" s="38"/>
      <c r="O32" s="39">
        <v>1979</v>
      </c>
      <c r="P32" s="40" t="s">
        <v>20</v>
      </c>
    </row>
    <row r="33" spans="1:16" ht="15" x14ac:dyDescent="0.2">
      <c r="A33" s="2">
        <v>2006</v>
      </c>
      <c r="B33" s="6">
        <v>40181</v>
      </c>
      <c r="C33" s="17" t="s">
        <v>270</v>
      </c>
      <c r="D33" s="6">
        <v>15775.753237979196</v>
      </c>
      <c r="E33" s="6">
        <v>24405.246762020804</v>
      </c>
      <c r="F33" s="6">
        <v>22060</v>
      </c>
      <c r="G33" s="6">
        <v>62241</v>
      </c>
      <c r="H33" s="6"/>
      <c r="I33" s="40">
        <v>2006</v>
      </c>
      <c r="J33" s="112">
        <v>0.158</v>
      </c>
      <c r="K33" s="113">
        <v>3860</v>
      </c>
      <c r="L33" s="38"/>
      <c r="M33" s="38"/>
      <c r="N33" s="38"/>
      <c r="O33" s="39">
        <v>2124</v>
      </c>
      <c r="P33" s="40" t="s">
        <v>20</v>
      </c>
    </row>
    <row r="34" spans="1:16" ht="15" x14ac:dyDescent="0.2">
      <c r="A34" s="2">
        <v>2007</v>
      </c>
      <c r="B34" s="6">
        <v>25069</v>
      </c>
      <c r="C34" s="17" t="s">
        <v>270</v>
      </c>
      <c r="D34" s="6">
        <v>10509.5272942021</v>
      </c>
      <c r="E34" s="6">
        <v>14559.4727057979</v>
      </c>
      <c r="F34" s="6">
        <v>10885</v>
      </c>
      <c r="G34" s="6">
        <v>35954</v>
      </c>
      <c r="H34" s="6"/>
      <c r="I34" s="40">
        <v>2007</v>
      </c>
      <c r="J34" s="112">
        <v>3.9E-2</v>
      </c>
      <c r="K34" s="112">
        <v>562</v>
      </c>
      <c r="L34" s="38"/>
      <c r="M34" s="38"/>
      <c r="N34" s="38"/>
      <c r="O34" s="39">
        <v>1736</v>
      </c>
      <c r="P34" s="40" t="s">
        <v>22</v>
      </c>
    </row>
    <row r="35" spans="1:16" ht="15" x14ac:dyDescent="0.2">
      <c r="A35" s="2">
        <v>2008</v>
      </c>
      <c r="B35" s="6">
        <v>26284</v>
      </c>
      <c r="C35" s="17" t="s">
        <v>270</v>
      </c>
      <c r="D35" s="6">
        <v>7932.2927972681755</v>
      </c>
      <c r="E35" s="6">
        <v>18351.707202731825</v>
      </c>
      <c r="F35" s="6">
        <v>7335</v>
      </c>
      <c r="G35" s="6">
        <v>33619</v>
      </c>
      <c r="H35" s="6"/>
      <c r="I35" s="40">
        <v>2008</v>
      </c>
      <c r="J35" s="112">
        <v>0.14499999999999999</v>
      </c>
      <c r="K35" s="113">
        <v>2663</v>
      </c>
      <c r="L35" s="38"/>
      <c r="M35" s="38"/>
      <c r="N35" s="38"/>
      <c r="O35" s="38">
        <v>981</v>
      </c>
      <c r="P35" s="40" t="s">
        <v>21</v>
      </c>
    </row>
    <row r="36" spans="1:16" ht="15" x14ac:dyDescent="0.2">
      <c r="A36" s="2">
        <v>2009</v>
      </c>
      <c r="B36" s="6">
        <v>15118</v>
      </c>
      <c r="C36" s="17" t="s">
        <v>270</v>
      </c>
      <c r="D36" s="6">
        <v>2146</v>
      </c>
      <c r="E36" s="6">
        <v>12972</v>
      </c>
      <c r="F36" s="6">
        <v>1350</v>
      </c>
      <c r="G36" s="6">
        <v>16468</v>
      </c>
      <c r="H36" s="6"/>
      <c r="I36" s="40">
        <v>2009</v>
      </c>
      <c r="J36" s="112">
        <v>0.17299999999999999</v>
      </c>
      <c r="K36" s="113">
        <v>2245</v>
      </c>
      <c r="L36" s="38"/>
      <c r="M36" s="38"/>
      <c r="N36" s="38"/>
      <c r="O36" s="38">
        <v>628</v>
      </c>
      <c r="P36" s="40" t="s">
        <v>22</v>
      </c>
    </row>
    <row r="37" spans="1:16" ht="15" x14ac:dyDescent="0.2">
      <c r="A37" s="2">
        <v>2010</v>
      </c>
      <c r="B37" s="6">
        <v>18312</v>
      </c>
      <c r="C37" s="17" t="s">
        <v>270</v>
      </c>
      <c r="D37" s="6">
        <v>3164.1725113122175</v>
      </c>
      <c r="E37" s="6">
        <v>15147.827488687783</v>
      </c>
      <c r="F37" s="6">
        <v>1303.3372775999999</v>
      </c>
      <c r="G37" s="6">
        <v>19615.3372776</v>
      </c>
      <c r="H37" s="6"/>
      <c r="I37" s="40">
        <v>2010</v>
      </c>
      <c r="J37" s="112">
        <v>7.0000000000000007E-2</v>
      </c>
      <c r="K37" s="113">
        <v>1057</v>
      </c>
      <c r="L37" s="38"/>
      <c r="M37" s="38"/>
      <c r="N37" s="38"/>
      <c r="O37" s="39">
        <v>1205</v>
      </c>
      <c r="P37" s="40" t="s">
        <v>21</v>
      </c>
    </row>
    <row r="38" spans="1:16" ht="15" x14ac:dyDescent="0.2">
      <c r="A38" s="2">
        <v>2011</v>
      </c>
      <c r="B38" s="6">
        <v>17652</v>
      </c>
      <c r="C38" s="17" t="s">
        <v>270</v>
      </c>
      <c r="D38" s="6">
        <v>3140.9934001670845</v>
      </c>
      <c r="E38" s="6">
        <v>14511.006599832916</v>
      </c>
      <c r="F38" s="6">
        <v>2142.1692905999998</v>
      </c>
      <c r="G38" s="6">
        <v>19794.169290599999</v>
      </c>
      <c r="H38" s="6"/>
      <c r="I38" s="40">
        <v>2011</v>
      </c>
      <c r="J38" s="112">
        <v>0.121</v>
      </c>
      <c r="K38" s="113">
        <v>1753</v>
      </c>
      <c r="L38" s="38"/>
      <c r="M38" s="38"/>
      <c r="N38" s="38"/>
      <c r="O38" s="38">
        <v>936</v>
      </c>
      <c r="P38" s="40" t="s">
        <v>20</v>
      </c>
    </row>
    <row r="39" spans="1:16" ht="15" x14ac:dyDescent="0.2">
      <c r="A39" s="2">
        <v>2012</v>
      </c>
      <c r="B39" s="6">
        <v>27542</v>
      </c>
      <c r="C39" s="17" t="s">
        <v>270</v>
      </c>
      <c r="D39" s="6">
        <v>5209.7006369426754</v>
      </c>
      <c r="E39" s="6">
        <v>22332.299363057326</v>
      </c>
      <c r="F39" s="6">
        <v>2352.5566435999999</v>
      </c>
      <c r="G39" s="6">
        <v>29894.556643600001</v>
      </c>
      <c r="H39" s="6"/>
      <c r="I39" s="40">
        <v>2012</v>
      </c>
      <c r="J39" s="112">
        <v>3.2000000000000001E-2</v>
      </c>
      <c r="K39" s="112">
        <v>720</v>
      </c>
      <c r="L39" s="38"/>
      <c r="M39" s="38"/>
      <c r="N39" s="38"/>
      <c r="O39" s="38">
        <v>587</v>
      </c>
      <c r="P39" s="40" t="s">
        <v>21</v>
      </c>
    </row>
    <row r="40" spans="1:16" ht="15" x14ac:dyDescent="0.2">
      <c r="A40" s="2">
        <v>2013</v>
      </c>
      <c r="B40" s="6">
        <v>20154</v>
      </c>
      <c r="C40" s="17" t="s">
        <v>270</v>
      </c>
      <c r="D40" s="6">
        <v>3369.6817560945942</v>
      </c>
      <c r="E40" s="6">
        <v>16784.318243905407</v>
      </c>
      <c r="F40" s="6">
        <v>1565.9528462399999</v>
      </c>
      <c r="G40" s="6">
        <v>21719.952846240001</v>
      </c>
      <c r="H40" s="6"/>
      <c r="I40" s="40">
        <v>2013</v>
      </c>
      <c r="J40" s="112">
        <v>5.1999999999999998E-2</v>
      </c>
      <c r="K40" s="112">
        <v>878</v>
      </c>
      <c r="L40" s="38"/>
      <c r="M40" s="38"/>
      <c r="N40" s="38"/>
      <c r="O40" s="38">
        <v>920</v>
      </c>
      <c r="P40" s="40" t="s">
        <v>20</v>
      </c>
    </row>
    <row r="41" spans="1:16" ht="16" x14ac:dyDescent="0.2">
      <c r="A41" s="2" t="s">
        <v>25</v>
      </c>
      <c r="B41" s="6">
        <v>27701</v>
      </c>
      <c r="C41" s="17" t="s">
        <v>270</v>
      </c>
      <c r="D41" s="6">
        <v>3326.6717503085156</v>
      </c>
      <c r="E41" s="6">
        <v>24374.328249691484</v>
      </c>
      <c r="F41" s="6">
        <v>1622.19034812</v>
      </c>
      <c r="G41" s="6">
        <v>29323.190348119999</v>
      </c>
      <c r="H41" s="6"/>
      <c r="I41" s="40" t="s">
        <v>335</v>
      </c>
      <c r="J41" s="112">
        <v>7.0000000000000001E-3</v>
      </c>
      <c r="K41" s="112">
        <v>169</v>
      </c>
      <c r="L41" s="38">
        <v>121</v>
      </c>
      <c r="M41" s="38">
        <v>514</v>
      </c>
      <c r="N41" s="38">
        <v>15</v>
      </c>
      <c r="O41" s="39">
        <v>1261</v>
      </c>
      <c r="P41" s="40" t="s">
        <v>20</v>
      </c>
    </row>
    <row r="42" spans="1:16" ht="15" x14ac:dyDescent="0.2">
      <c r="A42" s="2">
        <v>2015</v>
      </c>
      <c r="B42" s="6">
        <v>25855</v>
      </c>
      <c r="C42" s="17" t="s">
        <v>270</v>
      </c>
      <c r="D42" s="6">
        <v>4257.9986569016201</v>
      </c>
      <c r="E42" s="6">
        <v>21597.001343098382</v>
      </c>
      <c r="F42" s="6">
        <v>1500.000961</v>
      </c>
      <c r="G42" s="6">
        <v>27355.000961000002</v>
      </c>
      <c r="H42" s="6"/>
      <c r="I42" s="40">
        <v>2015</v>
      </c>
      <c r="J42" s="112">
        <v>2.1000000000000001E-2</v>
      </c>
      <c r="K42" s="112">
        <v>450</v>
      </c>
      <c r="L42" s="38">
        <v>179</v>
      </c>
      <c r="M42" s="38">
        <v>53</v>
      </c>
      <c r="N42" s="38">
        <v>30</v>
      </c>
      <c r="O42" s="38">
        <v>796</v>
      </c>
      <c r="P42" s="40" t="s">
        <v>20</v>
      </c>
    </row>
    <row r="43" spans="1:16" ht="15" x14ac:dyDescent="0.2">
      <c r="A43" s="2">
        <v>2016</v>
      </c>
      <c r="B43" s="6">
        <v>13789</v>
      </c>
      <c r="C43" s="17" t="s">
        <v>270</v>
      </c>
      <c r="D43" s="6">
        <v>3235</v>
      </c>
      <c r="E43" s="6">
        <v>10554</v>
      </c>
      <c r="F43" s="6">
        <v>1706.9228699820296</v>
      </c>
      <c r="G43" s="6">
        <v>15495.922869982031</v>
      </c>
      <c r="H43" s="6"/>
      <c r="I43" s="40">
        <v>2016</v>
      </c>
      <c r="J43" s="112">
        <v>8.6999999999999994E-2</v>
      </c>
      <c r="K43" s="112">
        <v>921</v>
      </c>
      <c r="L43" s="38">
        <v>107</v>
      </c>
      <c r="M43" s="38">
        <v>95</v>
      </c>
      <c r="N43" s="38">
        <v>25</v>
      </c>
      <c r="O43" s="38">
        <v>402</v>
      </c>
      <c r="P43" s="40" t="s">
        <v>20</v>
      </c>
    </row>
    <row r="44" spans="1:16" ht="15" x14ac:dyDescent="0.2">
      <c r="A44" s="2">
        <v>2017</v>
      </c>
      <c r="B44" s="6">
        <v>7938</v>
      </c>
      <c r="C44" s="17" t="s">
        <v>270</v>
      </c>
      <c r="D44" s="6">
        <v>603</v>
      </c>
      <c r="E44" s="6">
        <v>7335</v>
      </c>
      <c r="F44" s="6">
        <v>206.81510548812997</v>
      </c>
      <c r="G44" s="6">
        <v>8144.81510548813</v>
      </c>
      <c r="H44" s="6"/>
      <c r="I44" s="40">
        <v>2017</v>
      </c>
      <c r="J44" s="112">
        <v>6.7000000000000004E-2</v>
      </c>
      <c r="K44" s="112">
        <v>492</v>
      </c>
      <c r="L44" s="38"/>
      <c r="M44" s="38"/>
      <c r="N44" s="38"/>
      <c r="O44" s="38">
        <v>349</v>
      </c>
      <c r="P44" s="40" t="s">
        <v>20</v>
      </c>
    </row>
    <row r="45" spans="1:16" ht="15" x14ac:dyDescent="0.2">
      <c r="A45" s="2">
        <v>2018</v>
      </c>
      <c r="B45" s="6">
        <v>8768</v>
      </c>
      <c r="C45" s="17" t="s">
        <v>270</v>
      </c>
      <c r="D45" s="6">
        <v>165</v>
      </c>
      <c r="E45" s="6">
        <v>8603</v>
      </c>
      <c r="F45" s="6">
        <v>39.452631091000001</v>
      </c>
      <c r="G45" s="6">
        <v>8807.4526310910005</v>
      </c>
      <c r="H45" s="6"/>
      <c r="I45" s="40">
        <v>2018</v>
      </c>
      <c r="J45" s="112">
        <v>5.2999999999999999E-2</v>
      </c>
      <c r="K45" s="112">
        <v>453</v>
      </c>
      <c r="L45" s="38">
        <v>16</v>
      </c>
      <c r="M45" s="38"/>
      <c r="N45" s="38">
        <v>17</v>
      </c>
      <c r="O45" s="38">
        <v>482</v>
      </c>
      <c r="P45" s="40" t="s">
        <v>20</v>
      </c>
    </row>
    <row r="46" spans="1:16" ht="15" x14ac:dyDescent="0.2">
      <c r="A46" s="2">
        <v>2019</v>
      </c>
      <c r="B46" s="6">
        <v>14150</v>
      </c>
      <c r="C46" s="17" t="s">
        <v>270</v>
      </c>
      <c r="D46" s="6">
        <v>333</v>
      </c>
      <c r="E46" s="6">
        <v>13817</v>
      </c>
      <c r="F46" s="6">
        <v>133.01047448112001</v>
      </c>
      <c r="G46" s="6">
        <v>14283.01047448112</v>
      </c>
      <c r="H46" s="6"/>
      <c r="I46" s="40">
        <v>2019</v>
      </c>
      <c r="J46" s="112">
        <v>3.9E-2</v>
      </c>
      <c r="K46" s="112">
        <v>536</v>
      </c>
      <c r="L46" s="38">
        <v>12</v>
      </c>
      <c r="M46" s="38"/>
      <c r="N46" s="38">
        <v>7</v>
      </c>
      <c r="O46" s="38">
        <v>698</v>
      </c>
      <c r="P46" s="40" t="s">
        <v>20</v>
      </c>
    </row>
    <row r="47" spans="1:16" ht="15" x14ac:dyDescent="0.2">
      <c r="A47" s="2">
        <v>2020</v>
      </c>
      <c r="B47" s="6">
        <v>10142</v>
      </c>
      <c r="C47" s="17" t="s">
        <v>270</v>
      </c>
      <c r="D47" s="6">
        <v>389</v>
      </c>
      <c r="E47" s="6">
        <v>9753</v>
      </c>
      <c r="F47" s="6">
        <v>160.87159638722756</v>
      </c>
      <c r="G47" s="6">
        <v>10302.871596387227</v>
      </c>
      <c r="H47" s="6"/>
      <c r="I47" s="40">
        <v>2020</v>
      </c>
      <c r="J47" s="112">
        <v>3.5999999999999997E-2</v>
      </c>
      <c r="K47" s="112">
        <v>347</v>
      </c>
      <c r="L47" s="38"/>
      <c r="M47" s="38"/>
      <c r="N47" s="38"/>
      <c r="O47" s="38">
        <v>470</v>
      </c>
      <c r="P47" s="40" t="s">
        <v>20</v>
      </c>
    </row>
    <row r="48" spans="1:16" ht="15" x14ac:dyDescent="0.2">
      <c r="A48" s="2">
        <v>2021</v>
      </c>
      <c r="B48" s="6">
        <v>8558</v>
      </c>
      <c r="C48" s="17" t="s">
        <v>270</v>
      </c>
      <c r="D48" s="6">
        <v>182</v>
      </c>
      <c r="E48" s="6">
        <v>8376</v>
      </c>
      <c r="F48" s="6">
        <v>123</v>
      </c>
      <c r="G48" s="6">
        <v>8681</v>
      </c>
      <c r="H48" s="6"/>
      <c r="I48" s="40">
        <v>2021</v>
      </c>
      <c r="J48" s="112">
        <v>0.11799999999999999</v>
      </c>
      <c r="K48" s="112">
        <v>987</v>
      </c>
      <c r="L48" s="38">
        <v>233</v>
      </c>
      <c r="M48" s="38">
        <v>57</v>
      </c>
      <c r="N48" s="38">
        <v>7</v>
      </c>
      <c r="O48" s="38">
        <v>530</v>
      </c>
      <c r="P48" s="40" t="s">
        <v>20</v>
      </c>
    </row>
    <row r="49" spans="1:16" ht="15" x14ac:dyDescent="0.2">
      <c r="A49" s="2">
        <v>2022</v>
      </c>
      <c r="B49" s="6">
        <v>9359</v>
      </c>
      <c r="C49" s="17" t="s">
        <v>270</v>
      </c>
      <c r="D49" s="6">
        <v>269</v>
      </c>
      <c r="E49" s="6">
        <v>9090</v>
      </c>
      <c r="F49" s="6">
        <v>62.028864780216907</v>
      </c>
      <c r="G49" s="6">
        <v>9421.0288647802172</v>
      </c>
      <c r="H49" s="6"/>
      <c r="I49" s="40">
        <v>2022</v>
      </c>
      <c r="J49" s="112">
        <v>7.3999999999999996E-2</v>
      </c>
      <c r="K49" s="112">
        <v>677</v>
      </c>
      <c r="L49" s="38">
        <v>173</v>
      </c>
      <c r="M49" s="38"/>
      <c r="N49" s="38">
        <v>10</v>
      </c>
      <c r="O49" s="38">
        <v>821</v>
      </c>
      <c r="P49" s="40" t="s">
        <v>20</v>
      </c>
    </row>
    <row r="50" spans="1:16" x14ac:dyDescent="0.15">
      <c r="A50" s="40">
        <v>2023</v>
      </c>
      <c r="B50" s="39">
        <v>12864</v>
      </c>
      <c r="C50" s="38" t="s">
        <v>299</v>
      </c>
      <c r="D50" s="112">
        <v>69</v>
      </c>
      <c r="E50" s="113">
        <v>12795</v>
      </c>
      <c r="F50" s="112">
        <v>71</v>
      </c>
      <c r="G50" s="113">
        <v>12935</v>
      </c>
      <c r="H50" s="38"/>
      <c r="I50" s="40">
        <v>2023</v>
      </c>
      <c r="J50" s="112">
        <v>2.8000000000000001E-2</v>
      </c>
      <c r="K50" s="112">
        <v>363</v>
      </c>
      <c r="L50" s="38"/>
      <c r="M50" s="38" t="s">
        <v>300</v>
      </c>
      <c r="N50" s="38"/>
      <c r="O50" s="38">
        <v>386</v>
      </c>
      <c r="P50" s="40" t="s">
        <v>20</v>
      </c>
    </row>
    <row r="51" spans="1:16" x14ac:dyDescent="0.15">
      <c r="A51" s="102">
        <v>2024</v>
      </c>
      <c r="B51" s="103">
        <v>9884</v>
      </c>
      <c r="C51" s="41" t="s">
        <v>299</v>
      </c>
      <c r="D51" s="115">
        <v>49</v>
      </c>
      <c r="E51" s="114">
        <v>9835</v>
      </c>
      <c r="F51" s="115">
        <v>37</v>
      </c>
      <c r="G51" s="114">
        <v>9921</v>
      </c>
      <c r="H51" s="38"/>
      <c r="I51" s="102">
        <v>2024</v>
      </c>
      <c r="J51" s="115">
        <v>3.9E-2</v>
      </c>
      <c r="K51" s="115">
        <v>382</v>
      </c>
      <c r="L51" s="41">
        <v>160</v>
      </c>
      <c r="M51" s="41">
        <v>20</v>
      </c>
      <c r="N51" s="41">
        <v>29</v>
      </c>
      <c r="O51" s="41">
        <v>404</v>
      </c>
      <c r="P51" s="102" t="s">
        <v>20</v>
      </c>
    </row>
    <row r="52" spans="1:16" x14ac:dyDescent="0.15">
      <c r="A52" s="138" t="s">
        <v>24</v>
      </c>
      <c r="B52" s="112"/>
      <c r="C52" s="38"/>
      <c r="D52" s="112"/>
      <c r="E52" s="112"/>
      <c r="F52" s="112"/>
      <c r="G52" s="112"/>
      <c r="H52" s="38"/>
      <c r="I52" s="138" t="s">
        <v>24</v>
      </c>
      <c r="J52" s="112"/>
      <c r="K52" s="112"/>
      <c r="L52" s="112"/>
      <c r="M52" s="112"/>
      <c r="N52" s="112"/>
      <c r="O52" s="112"/>
      <c r="P52" s="112"/>
    </row>
    <row r="53" spans="1:16" x14ac:dyDescent="0.15">
      <c r="A53" s="136" t="s">
        <v>302</v>
      </c>
      <c r="B53" s="114">
        <v>13912</v>
      </c>
      <c r="C53" s="41"/>
      <c r="D53" s="114">
        <v>1283</v>
      </c>
      <c r="E53" s="114">
        <v>12629</v>
      </c>
      <c r="F53" s="115">
        <v>563</v>
      </c>
      <c r="G53" s="114">
        <v>14475</v>
      </c>
      <c r="H53" s="38"/>
      <c r="I53" s="136" t="s">
        <v>302</v>
      </c>
      <c r="J53" s="115">
        <v>5.2999999999999999E-2</v>
      </c>
      <c r="K53" s="115">
        <v>540</v>
      </c>
      <c r="L53" s="115">
        <v>120</v>
      </c>
      <c r="M53" s="115">
        <v>180</v>
      </c>
      <c r="N53" s="115">
        <v>16</v>
      </c>
      <c r="O53" s="115">
        <v>620</v>
      </c>
      <c r="P53" s="115"/>
    </row>
    <row r="54" spans="1:16" ht="15" x14ac:dyDescent="0.15">
      <c r="A54" s="123" t="s">
        <v>333</v>
      </c>
      <c r="B54" s="38"/>
      <c r="C54" s="38"/>
      <c r="D54" s="38"/>
      <c r="E54" s="38"/>
      <c r="F54" s="38"/>
      <c r="G54" s="38"/>
      <c r="H54" s="38"/>
    </row>
  </sheetData>
  <mergeCells count="1">
    <mergeCell ref="K4:L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workbookViewId="0">
      <selection activeCell="D11" sqref="D11"/>
    </sheetView>
  </sheetViews>
  <sheetFormatPr baseColWidth="10" defaultColWidth="9.1640625" defaultRowHeight="13" x14ac:dyDescent="0.15"/>
  <cols>
    <col min="1" max="1" width="9.1640625" style="2"/>
    <col min="2" max="2" width="11.1640625" style="2" bestFit="1" customWidth="1"/>
    <col min="3" max="3" width="16.33203125" style="2" bestFit="1" customWidth="1"/>
    <col min="4" max="4" width="13.6640625" style="2" bestFit="1" customWidth="1"/>
    <col min="5" max="5" width="19.1640625" style="2" bestFit="1" customWidth="1"/>
    <col min="6" max="6" width="16.33203125" style="2" bestFit="1" customWidth="1"/>
    <col min="7" max="7" width="13.6640625" style="2" bestFit="1" customWidth="1"/>
    <col min="8" max="8" width="17.5" style="2" bestFit="1" customWidth="1"/>
    <col min="9" max="9" width="16.33203125" style="2" bestFit="1" customWidth="1"/>
    <col min="10" max="10" width="13.6640625" style="2" bestFit="1" customWidth="1"/>
    <col min="11" max="11" width="24" style="2" bestFit="1" customWidth="1"/>
    <col min="12" max="12" width="16.33203125" style="2" bestFit="1" customWidth="1"/>
    <col min="13" max="13" width="13.6640625" style="2" bestFit="1" customWidth="1"/>
    <col min="14" max="14" width="17.5" style="2" bestFit="1" customWidth="1"/>
    <col min="15" max="15" width="16.33203125" style="2" bestFit="1" customWidth="1"/>
    <col min="16" max="16" width="13.6640625" style="2" bestFit="1" customWidth="1"/>
    <col min="17" max="16384" width="9.1640625" style="2"/>
  </cols>
  <sheetData>
    <row r="1" spans="1:16" x14ac:dyDescent="0.15">
      <c r="A1" s="1" t="s">
        <v>337</v>
      </c>
    </row>
    <row r="3" spans="1:16" x14ac:dyDescent="0.15">
      <c r="A3" s="4"/>
      <c r="B3" s="194" t="s">
        <v>26</v>
      </c>
      <c r="C3" s="195"/>
      <c r="D3" s="196"/>
      <c r="E3" s="194" t="s">
        <v>272</v>
      </c>
      <c r="F3" s="195"/>
      <c r="G3" s="196"/>
      <c r="H3" s="195" t="s">
        <v>27</v>
      </c>
      <c r="I3" s="195"/>
      <c r="J3" s="195"/>
      <c r="K3" s="194" t="s">
        <v>28</v>
      </c>
      <c r="L3" s="195"/>
      <c r="M3" s="196"/>
      <c r="N3" s="194" t="s">
        <v>29</v>
      </c>
      <c r="O3" s="195"/>
      <c r="P3" s="196"/>
    </row>
    <row r="4" spans="1:16" x14ac:dyDescent="0.15">
      <c r="A4" s="5" t="s">
        <v>10</v>
      </c>
      <c r="B4" s="47" t="s">
        <v>30</v>
      </c>
      <c r="C4" s="5" t="s">
        <v>31</v>
      </c>
      <c r="D4" s="48" t="s">
        <v>32</v>
      </c>
      <c r="E4" s="47" t="s">
        <v>33</v>
      </c>
      <c r="F4" s="5" t="s">
        <v>31</v>
      </c>
      <c r="G4" s="48" t="s">
        <v>32</v>
      </c>
      <c r="H4" s="5" t="s">
        <v>33</v>
      </c>
      <c r="I4" s="5" t="s">
        <v>31</v>
      </c>
      <c r="J4" s="5" t="s">
        <v>32</v>
      </c>
      <c r="K4" s="47" t="s">
        <v>33</v>
      </c>
      <c r="L4" s="5" t="s">
        <v>31</v>
      </c>
      <c r="M4" s="48" t="s">
        <v>32</v>
      </c>
      <c r="N4" s="47" t="s">
        <v>33</v>
      </c>
      <c r="O4" s="5" t="s">
        <v>31</v>
      </c>
      <c r="P4" s="48" t="s">
        <v>32</v>
      </c>
    </row>
    <row r="5" spans="1:16" x14ac:dyDescent="0.15">
      <c r="A5" s="2">
        <v>1979</v>
      </c>
      <c r="B5" s="6">
        <v>10211</v>
      </c>
      <c r="C5" s="6"/>
      <c r="D5" s="6"/>
      <c r="E5" s="6">
        <v>10211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15">
      <c r="A6" s="2">
        <v>1980</v>
      </c>
      <c r="B6" s="6">
        <v>11018</v>
      </c>
      <c r="C6" s="6"/>
      <c r="D6" s="6"/>
      <c r="E6" s="6">
        <v>11018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15">
      <c r="A7" s="2">
        <v>1981</v>
      </c>
      <c r="B7" s="6">
        <v>50790</v>
      </c>
      <c r="C7" s="6"/>
      <c r="D7" s="6"/>
      <c r="E7" s="6">
        <v>50790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15">
      <c r="A8" s="2">
        <v>1982</v>
      </c>
      <c r="B8" s="6">
        <v>28257</v>
      </c>
      <c r="C8" s="6"/>
      <c r="D8" s="6"/>
      <c r="E8" s="6">
        <v>28257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15">
      <c r="A9" s="2">
        <v>1983</v>
      </c>
      <c r="B9" s="6">
        <v>21256</v>
      </c>
      <c r="C9" s="6"/>
      <c r="D9" s="6"/>
      <c r="E9" s="6">
        <v>21256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15">
      <c r="A10" s="2">
        <v>1984</v>
      </c>
      <c r="B10" s="6">
        <v>32777</v>
      </c>
      <c r="C10" s="6"/>
      <c r="D10" s="6"/>
      <c r="E10" s="6">
        <v>32777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15">
      <c r="A11" s="2">
        <v>1985</v>
      </c>
      <c r="B11" s="6">
        <v>67326</v>
      </c>
      <c r="C11" s="6"/>
      <c r="D11" s="6"/>
      <c r="E11" s="6">
        <v>67326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15">
      <c r="A12" s="2">
        <v>1986</v>
      </c>
      <c r="B12" s="6">
        <v>20280</v>
      </c>
      <c r="C12" s="6"/>
      <c r="D12" s="6"/>
      <c r="E12" s="6">
        <v>20280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15">
      <c r="A13" s="2">
        <v>1987</v>
      </c>
      <c r="B13" s="6">
        <v>6958</v>
      </c>
      <c r="C13" s="6"/>
      <c r="D13" s="6"/>
      <c r="E13" s="6">
        <v>6958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15">
      <c r="A14" s="2">
        <v>1988</v>
      </c>
      <c r="B14" s="6">
        <v>2536</v>
      </c>
      <c r="C14" s="6"/>
      <c r="D14" s="6"/>
      <c r="E14" s="6">
        <v>2536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15">
      <c r="A15" s="2">
        <v>1989</v>
      </c>
      <c r="B15" s="6">
        <v>8316</v>
      </c>
      <c r="C15" s="6"/>
      <c r="D15" s="6"/>
      <c r="E15" s="6">
        <v>8316</v>
      </c>
      <c r="F15" s="6"/>
      <c r="G15" s="6"/>
      <c r="H15" s="6">
        <v>2210</v>
      </c>
      <c r="I15" s="6"/>
      <c r="J15" s="6"/>
      <c r="K15" s="6"/>
      <c r="L15" s="6"/>
      <c r="M15" s="6"/>
      <c r="N15" s="6"/>
      <c r="O15" s="6"/>
      <c r="P15" s="6"/>
    </row>
    <row r="16" spans="1:16" x14ac:dyDescent="0.15">
      <c r="A16" s="2">
        <v>1990</v>
      </c>
      <c r="B16" s="6">
        <v>14927</v>
      </c>
      <c r="C16" s="6"/>
      <c r="D16" s="6"/>
      <c r="E16" s="6">
        <v>14927</v>
      </c>
      <c r="F16" s="6"/>
      <c r="G16" s="6"/>
      <c r="H16" s="6">
        <v>3302</v>
      </c>
      <c r="I16" s="6"/>
      <c r="J16" s="6"/>
      <c r="K16" s="6"/>
      <c r="L16" s="6"/>
      <c r="M16" s="6"/>
      <c r="N16" s="6"/>
      <c r="O16" s="6"/>
      <c r="P16" s="6"/>
    </row>
    <row r="17" spans="1:16" x14ac:dyDescent="0.15">
      <c r="A17" s="2">
        <v>1991</v>
      </c>
      <c r="B17" s="6">
        <v>50135</v>
      </c>
      <c r="C17" s="6"/>
      <c r="D17" s="6"/>
      <c r="E17" s="6">
        <v>50135</v>
      </c>
      <c r="F17" s="6"/>
      <c r="G17" s="6"/>
      <c r="H17" s="6">
        <v>3552</v>
      </c>
      <c r="I17" s="6"/>
      <c r="J17" s="6"/>
      <c r="K17" s="6"/>
      <c r="L17" s="6"/>
      <c r="M17" s="6"/>
      <c r="N17" s="6"/>
      <c r="O17" s="6"/>
      <c r="P17" s="6"/>
    </row>
    <row r="18" spans="1:16" x14ac:dyDescent="0.15">
      <c r="A18" s="2">
        <v>1992</v>
      </c>
      <c r="B18" s="6">
        <v>59907</v>
      </c>
      <c r="C18" s="6"/>
      <c r="D18" s="6"/>
      <c r="E18" s="6">
        <v>59907</v>
      </c>
      <c r="F18" s="6"/>
      <c r="G18" s="6"/>
      <c r="H18" s="6">
        <v>3694</v>
      </c>
      <c r="I18" s="6"/>
      <c r="J18" s="6"/>
      <c r="K18" s="6"/>
      <c r="L18" s="6"/>
      <c r="M18" s="6"/>
      <c r="N18" s="6"/>
      <c r="O18" s="6"/>
      <c r="P18" s="6"/>
    </row>
    <row r="19" spans="1:16" x14ac:dyDescent="0.15">
      <c r="A19" s="2">
        <v>1993</v>
      </c>
      <c r="B19" s="6">
        <v>53362</v>
      </c>
      <c r="C19" s="6">
        <v>1167.0246888495208</v>
      </c>
      <c r="D19" s="6">
        <v>52194.975311150483</v>
      </c>
      <c r="E19" s="6">
        <v>51610</v>
      </c>
      <c r="F19" s="6">
        <v>1128.707965338408</v>
      </c>
      <c r="G19" s="6">
        <v>50481.292034661594</v>
      </c>
      <c r="H19" s="6">
        <v>4506</v>
      </c>
      <c r="I19" s="6">
        <v>98.530485733695642</v>
      </c>
      <c r="J19" s="6">
        <v>4407.469514266304</v>
      </c>
      <c r="K19" s="6"/>
      <c r="L19" s="6"/>
      <c r="M19" s="6"/>
      <c r="N19" s="6">
        <v>47104</v>
      </c>
      <c r="O19" s="6">
        <v>1030.1774796047123</v>
      </c>
      <c r="P19" s="6">
        <v>46073.82252039529</v>
      </c>
    </row>
    <row r="20" spans="1:16" x14ac:dyDescent="0.15">
      <c r="A20" s="2">
        <v>1994</v>
      </c>
      <c r="B20" s="6">
        <v>46363</v>
      </c>
      <c r="C20" s="6">
        <v>7919.4209171671328</v>
      </c>
      <c r="D20" s="6">
        <v>38443.579082832868</v>
      </c>
      <c r="E20" s="6">
        <v>39511</v>
      </c>
      <c r="F20" s="6">
        <v>6749.0076107713176</v>
      </c>
      <c r="G20" s="6">
        <v>32761.992389228682</v>
      </c>
      <c r="H20" s="6">
        <v>3378</v>
      </c>
      <c r="I20" s="6">
        <v>577.0076107713171</v>
      </c>
      <c r="J20" s="6">
        <v>2800.9923892286829</v>
      </c>
      <c r="K20" s="6"/>
      <c r="L20" s="6"/>
      <c r="M20" s="6"/>
      <c r="N20" s="6">
        <v>36133</v>
      </c>
      <c r="O20" s="6">
        <v>6172</v>
      </c>
      <c r="P20" s="6">
        <v>29961</v>
      </c>
    </row>
    <row r="21" spans="1:16" x14ac:dyDescent="0.15">
      <c r="A21" s="2">
        <v>1995</v>
      </c>
      <c r="B21" s="6">
        <v>42317</v>
      </c>
      <c r="C21" s="6">
        <v>15997.174432989692</v>
      </c>
      <c r="D21" s="6">
        <v>26319.82556701031</v>
      </c>
      <c r="E21" s="6">
        <v>31577</v>
      </c>
      <c r="F21" s="6">
        <v>11937.11220243674</v>
      </c>
      <c r="G21" s="6">
        <v>19639.88779756326</v>
      </c>
      <c r="H21" s="6">
        <v>4902</v>
      </c>
      <c r="I21" s="6">
        <v>1853.1122024367387</v>
      </c>
      <c r="J21" s="6">
        <v>3048.8877975632613</v>
      </c>
      <c r="K21" s="6"/>
      <c r="L21" s="6"/>
      <c r="M21" s="6"/>
      <c r="N21" s="6">
        <v>26675</v>
      </c>
      <c r="O21" s="6">
        <v>10084</v>
      </c>
      <c r="P21" s="6">
        <v>16591</v>
      </c>
    </row>
    <row r="22" spans="1:16" x14ac:dyDescent="0.15">
      <c r="A22" s="2">
        <v>1996</v>
      </c>
      <c r="B22" s="6">
        <v>52500</v>
      </c>
      <c r="C22" s="6">
        <v>6121.0343908291125</v>
      </c>
      <c r="D22" s="6">
        <v>46378.965609170889</v>
      </c>
      <c r="E22" s="6">
        <v>38161</v>
      </c>
      <c r="F22" s="6">
        <v>4449.2341597796139</v>
      </c>
      <c r="G22" s="6">
        <v>33711.765840220389</v>
      </c>
      <c r="H22" s="6">
        <v>4402</v>
      </c>
      <c r="I22" s="6">
        <v>513.23415977961429</v>
      </c>
      <c r="J22" s="6">
        <v>3888.7658402203856</v>
      </c>
      <c r="K22" s="6"/>
      <c r="L22" s="6"/>
      <c r="M22" s="6"/>
      <c r="N22" s="6">
        <v>33759</v>
      </c>
      <c r="O22" s="6">
        <v>3936</v>
      </c>
      <c r="P22" s="6">
        <v>29823</v>
      </c>
    </row>
    <row r="23" spans="1:16" x14ac:dyDescent="0.15">
      <c r="A23" s="2">
        <v>1997</v>
      </c>
      <c r="B23" s="6">
        <v>12483</v>
      </c>
      <c r="C23" s="6">
        <v>2521.4296198144939</v>
      </c>
      <c r="D23" s="6">
        <v>9961.5703801855052</v>
      </c>
      <c r="E23" s="6">
        <v>12105</v>
      </c>
      <c r="F23" s="6">
        <v>2445.4296198144939</v>
      </c>
      <c r="G23" s="6">
        <v>9659.5703801855052</v>
      </c>
      <c r="H23" s="6">
        <v>2294</v>
      </c>
      <c r="I23" s="6">
        <v>463.42961981449389</v>
      </c>
      <c r="J23" s="6">
        <v>1830.5703801855061</v>
      </c>
      <c r="K23" s="6">
        <v>378</v>
      </c>
      <c r="L23" s="6">
        <v>76</v>
      </c>
      <c r="M23" s="6">
        <v>302</v>
      </c>
      <c r="N23" s="6">
        <v>9811</v>
      </c>
      <c r="O23" s="6">
        <v>1982</v>
      </c>
      <c r="P23" s="6">
        <v>7829</v>
      </c>
    </row>
    <row r="24" spans="1:16" x14ac:dyDescent="0.15">
      <c r="A24" s="2">
        <v>1998</v>
      </c>
      <c r="B24" s="6">
        <v>12658</v>
      </c>
      <c r="C24" s="6">
        <v>717</v>
      </c>
      <c r="D24" s="6">
        <v>11941</v>
      </c>
      <c r="E24" s="6">
        <v>12268</v>
      </c>
      <c r="F24" s="6">
        <v>691</v>
      </c>
      <c r="G24" s="6">
        <v>11577</v>
      </c>
      <c r="H24" s="6">
        <v>3099</v>
      </c>
      <c r="I24" s="6">
        <v>75</v>
      </c>
      <c r="J24" s="6">
        <v>3024</v>
      </c>
      <c r="K24" s="6">
        <v>390</v>
      </c>
      <c r="L24" s="6">
        <v>26</v>
      </c>
      <c r="M24" s="6">
        <v>364</v>
      </c>
      <c r="N24" s="6">
        <v>9169</v>
      </c>
      <c r="O24" s="6">
        <v>616</v>
      </c>
      <c r="P24" s="6">
        <v>8553</v>
      </c>
    </row>
    <row r="25" spans="1:16" x14ac:dyDescent="0.15">
      <c r="A25" s="2">
        <v>1999</v>
      </c>
      <c r="B25" s="6">
        <v>10748</v>
      </c>
      <c r="C25" s="6">
        <v>719</v>
      </c>
      <c r="D25" s="6">
        <v>10029</v>
      </c>
      <c r="E25" s="6">
        <v>10319</v>
      </c>
      <c r="F25" s="6">
        <v>690</v>
      </c>
      <c r="G25" s="6">
        <v>9629</v>
      </c>
      <c r="H25" s="6">
        <v>2870</v>
      </c>
      <c r="I25" s="6">
        <v>193</v>
      </c>
      <c r="J25" s="6">
        <v>2677</v>
      </c>
      <c r="K25" s="6">
        <v>429</v>
      </c>
      <c r="L25" s="6">
        <v>29</v>
      </c>
      <c r="M25" s="6">
        <v>400</v>
      </c>
      <c r="N25" s="6">
        <v>7449</v>
      </c>
      <c r="O25" s="6">
        <v>497</v>
      </c>
      <c r="P25" s="6">
        <v>6952</v>
      </c>
    </row>
    <row r="26" spans="1:16" x14ac:dyDescent="0.15">
      <c r="A26" s="2">
        <v>2000</v>
      </c>
      <c r="B26" s="6">
        <v>6076</v>
      </c>
      <c r="C26" s="6">
        <v>1230</v>
      </c>
      <c r="D26" s="6">
        <v>4846</v>
      </c>
      <c r="E26" s="6">
        <v>5670</v>
      </c>
      <c r="F26" s="6">
        <v>1148</v>
      </c>
      <c r="G26" s="6">
        <v>4522</v>
      </c>
      <c r="H26" s="6">
        <v>1717</v>
      </c>
      <c r="I26" s="6">
        <v>347</v>
      </c>
      <c r="J26" s="6">
        <v>1370</v>
      </c>
      <c r="K26" s="6">
        <v>406</v>
      </c>
      <c r="L26" s="6">
        <v>82</v>
      </c>
      <c r="M26" s="6">
        <v>324</v>
      </c>
      <c r="N26" s="6">
        <v>3953</v>
      </c>
      <c r="O26" s="6">
        <v>801</v>
      </c>
      <c r="P26" s="6">
        <v>3152</v>
      </c>
    </row>
    <row r="27" spans="1:16" x14ac:dyDescent="0.15">
      <c r="A27" s="2">
        <v>2001</v>
      </c>
      <c r="B27" s="6">
        <v>14811</v>
      </c>
      <c r="C27" s="6">
        <v>5865</v>
      </c>
      <c r="D27" s="6">
        <v>8946</v>
      </c>
      <c r="E27" s="6">
        <v>14761</v>
      </c>
      <c r="F27" s="6">
        <v>5845</v>
      </c>
      <c r="G27" s="6">
        <v>8916</v>
      </c>
      <c r="H27" s="6">
        <v>2386</v>
      </c>
      <c r="I27" s="6">
        <v>945</v>
      </c>
      <c r="J27" s="6">
        <v>1441</v>
      </c>
      <c r="K27" s="6">
        <v>50</v>
      </c>
      <c r="L27" s="6">
        <v>20</v>
      </c>
      <c r="M27" s="6">
        <v>30</v>
      </c>
      <c r="N27" s="6">
        <v>12375</v>
      </c>
      <c r="O27" s="6">
        <v>4900</v>
      </c>
      <c r="P27" s="6">
        <v>7475</v>
      </c>
    </row>
    <row r="28" spans="1:16" x14ac:dyDescent="0.15">
      <c r="A28" s="2">
        <v>2002</v>
      </c>
      <c r="B28" s="6">
        <v>17740</v>
      </c>
      <c r="C28" s="6">
        <v>5212</v>
      </c>
      <c r="D28" s="6">
        <v>12528</v>
      </c>
      <c r="E28" s="6">
        <v>17340</v>
      </c>
      <c r="F28" s="6">
        <v>5097</v>
      </c>
      <c r="G28" s="6">
        <v>12243</v>
      </c>
      <c r="H28" s="6">
        <v>3051</v>
      </c>
      <c r="I28" s="6">
        <v>1298</v>
      </c>
      <c r="J28" s="6">
        <v>1753</v>
      </c>
      <c r="K28" s="6">
        <v>400</v>
      </c>
      <c r="L28" s="6">
        <v>115</v>
      </c>
      <c r="M28" s="6">
        <v>285</v>
      </c>
      <c r="N28" s="6">
        <v>14289</v>
      </c>
      <c r="O28" s="6">
        <v>3799</v>
      </c>
      <c r="P28" s="6">
        <v>10490</v>
      </c>
    </row>
    <row r="29" spans="1:16" x14ac:dyDescent="0.15">
      <c r="A29" s="2">
        <v>2003</v>
      </c>
      <c r="B29" s="6">
        <v>53933</v>
      </c>
      <c r="C29" s="6">
        <v>23595</v>
      </c>
      <c r="D29" s="6">
        <v>30338</v>
      </c>
      <c r="E29" s="6">
        <v>53533</v>
      </c>
      <c r="F29" s="6">
        <v>23420</v>
      </c>
      <c r="G29" s="6">
        <v>30113</v>
      </c>
      <c r="H29" s="6">
        <v>3946</v>
      </c>
      <c r="I29" s="6">
        <v>1726</v>
      </c>
      <c r="J29" s="6">
        <v>2220</v>
      </c>
      <c r="K29" s="6">
        <v>400</v>
      </c>
      <c r="L29" s="6">
        <v>175</v>
      </c>
      <c r="M29" s="6">
        <v>225</v>
      </c>
      <c r="N29" s="6">
        <v>49587</v>
      </c>
      <c r="O29" s="6">
        <v>21694</v>
      </c>
      <c r="P29" s="6">
        <v>27893</v>
      </c>
    </row>
    <row r="30" spans="1:16" x14ac:dyDescent="0.15">
      <c r="A30" s="2">
        <v>2004</v>
      </c>
      <c r="B30" s="6">
        <v>63372</v>
      </c>
      <c r="C30" s="6">
        <v>31439</v>
      </c>
      <c r="D30" s="6">
        <v>31933</v>
      </c>
      <c r="E30" s="6">
        <v>62952</v>
      </c>
      <c r="F30" s="6">
        <v>31244</v>
      </c>
      <c r="G30" s="6">
        <v>31708</v>
      </c>
      <c r="H30" s="6">
        <v>4243</v>
      </c>
      <c r="I30" s="6">
        <v>1250</v>
      </c>
      <c r="J30" s="6">
        <v>2993</v>
      </c>
      <c r="K30" s="6">
        <v>420</v>
      </c>
      <c r="L30" s="6">
        <v>195</v>
      </c>
      <c r="M30" s="6">
        <v>225</v>
      </c>
      <c r="N30" s="6">
        <v>58709</v>
      </c>
      <c r="O30" s="6">
        <v>29994</v>
      </c>
      <c r="P30" s="6">
        <v>28715</v>
      </c>
    </row>
    <row r="31" spans="1:16" x14ac:dyDescent="0.15">
      <c r="A31" s="2">
        <v>2005</v>
      </c>
      <c r="B31" s="6">
        <v>43446</v>
      </c>
      <c r="C31" s="6">
        <v>17928</v>
      </c>
      <c r="D31" s="6">
        <v>25518</v>
      </c>
      <c r="E31" s="6">
        <v>43046</v>
      </c>
      <c r="F31" s="6">
        <v>17770</v>
      </c>
      <c r="G31" s="6">
        <v>25276</v>
      </c>
      <c r="H31" s="6">
        <v>3424</v>
      </c>
      <c r="I31" s="6">
        <v>1350</v>
      </c>
      <c r="J31" s="6">
        <v>2074</v>
      </c>
      <c r="K31" s="6">
        <v>400</v>
      </c>
      <c r="L31" s="6">
        <v>158</v>
      </c>
      <c r="M31" s="6">
        <v>242</v>
      </c>
      <c r="N31" s="6">
        <v>39622</v>
      </c>
      <c r="O31" s="6">
        <v>16420</v>
      </c>
      <c r="P31" s="6">
        <v>23202</v>
      </c>
    </row>
    <row r="32" spans="1:16" x14ac:dyDescent="0.15">
      <c r="A32" s="2">
        <v>2006</v>
      </c>
      <c r="B32" s="6">
        <v>53855</v>
      </c>
      <c r="C32" s="6">
        <v>25966</v>
      </c>
      <c r="D32" s="6">
        <v>27889</v>
      </c>
      <c r="E32" s="6">
        <v>53455</v>
      </c>
      <c r="F32" s="6">
        <v>25772</v>
      </c>
      <c r="G32" s="6">
        <v>27683</v>
      </c>
      <c r="H32" s="6">
        <v>3403</v>
      </c>
      <c r="I32" s="6">
        <v>1646</v>
      </c>
      <c r="J32" s="6">
        <v>1757</v>
      </c>
      <c r="K32" s="6">
        <v>400</v>
      </c>
      <c r="L32" s="6">
        <v>194</v>
      </c>
      <c r="M32" s="6">
        <v>206</v>
      </c>
      <c r="N32" s="6">
        <v>50052</v>
      </c>
      <c r="O32" s="6">
        <v>24126</v>
      </c>
      <c r="P32" s="6">
        <v>25926</v>
      </c>
    </row>
    <row r="33" spans="1:16" x14ac:dyDescent="0.15">
      <c r="A33" s="2">
        <v>2007</v>
      </c>
      <c r="B33" s="6">
        <v>21074</v>
      </c>
      <c r="C33" s="6">
        <v>8966</v>
      </c>
      <c r="D33" s="6">
        <v>12108</v>
      </c>
      <c r="E33" s="6">
        <v>20874</v>
      </c>
      <c r="F33" s="6">
        <v>8881</v>
      </c>
      <c r="G33" s="6">
        <v>11993</v>
      </c>
      <c r="H33" s="6">
        <v>2839</v>
      </c>
      <c r="I33" s="6">
        <v>1208</v>
      </c>
      <c r="J33" s="6">
        <v>1631</v>
      </c>
      <c r="K33" s="6">
        <v>200</v>
      </c>
      <c r="L33" s="6">
        <v>85</v>
      </c>
      <c r="M33" s="6">
        <v>115</v>
      </c>
      <c r="N33" s="6">
        <v>18035</v>
      </c>
      <c r="O33" s="6">
        <v>7673</v>
      </c>
      <c r="P33" s="6">
        <v>10362</v>
      </c>
    </row>
    <row r="34" spans="1:16" x14ac:dyDescent="0.15">
      <c r="A34" s="2">
        <v>2008</v>
      </c>
      <c r="B34" s="6">
        <v>10516</v>
      </c>
      <c r="C34" s="6">
        <v>5343.5040000000008</v>
      </c>
      <c r="D34" s="6">
        <v>5172.4959999999992</v>
      </c>
      <c r="E34" s="6">
        <v>10416</v>
      </c>
      <c r="F34" s="6">
        <v>5294.5040000000008</v>
      </c>
      <c r="G34" s="6">
        <v>5121.4959999999992</v>
      </c>
      <c r="H34" s="6">
        <v>2364</v>
      </c>
      <c r="I34" s="6">
        <v>1152</v>
      </c>
      <c r="J34" s="6">
        <v>1212</v>
      </c>
      <c r="K34" s="6">
        <v>100</v>
      </c>
      <c r="L34" s="6">
        <v>49</v>
      </c>
      <c r="M34" s="6">
        <v>51</v>
      </c>
      <c r="N34" s="6">
        <v>8052</v>
      </c>
      <c r="O34" s="6">
        <v>4142.5040000000008</v>
      </c>
      <c r="P34" s="6">
        <v>3909.4959999999992</v>
      </c>
    </row>
    <row r="35" spans="1:16" x14ac:dyDescent="0.15">
      <c r="A35" s="2">
        <v>2009</v>
      </c>
      <c r="B35" s="6">
        <v>30673</v>
      </c>
      <c r="C35" s="6">
        <v>5030</v>
      </c>
      <c r="D35" s="6">
        <v>25643</v>
      </c>
      <c r="E35" s="6">
        <v>30324</v>
      </c>
      <c r="F35" s="6">
        <v>4971</v>
      </c>
      <c r="G35" s="6">
        <v>25353</v>
      </c>
      <c r="H35" s="6">
        <v>3011</v>
      </c>
      <c r="I35" s="6">
        <v>930</v>
      </c>
      <c r="J35" s="6">
        <v>2081</v>
      </c>
      <c r="K35" s="6">
        <v>349</v>
      </c>
      <c r="L35" s="6">
        <v>59</v>
      </c>
      <c r="M35" s="6">
        <v>290</v>
      </c>
      <c r="N35" s="6">
        <v>27313</v>
      </c>
      <c r="O35" s="6">
        <v>4041</v>
      </c>
      <c r="P35" s="6">
        <v>23272</v>
      </c>
    </row>
    <row r="36" spans="1:16" x14ac:dyDescent="0.15">
      <c r="A36" s="2">
        <v>2010</v>
      </c>
      <c r="B36" s="6">
        <v>22860</v>
      </c>
      <c r="C36" s="6">
        <v>9670</v>
      </c>
      <c r="D36" s="6">
        <v>13190</v>
      </c>
      <c r="E36" s="6">
        <v>22702</v>
      </c>
      <c r="F36" s="6">
        <v>9596</v>
      </c>
      <c r="G36" s="6">
        <v>13106</v>
      </c>
      <c r="H36" s="6">
        <v>4484</v>
      </c>
      <c r="I36" s="6">
        <v>1807</v>
      </c>
      <c r="J36" s="6">
        <v>2677</v>
      </c>
      <c r="K36" s="6">
        <v>158</v>
      </c>
      <c r="L36" s="6">
        <v>74</v>
      </c>
      <c r="M36" s="6">
        <v>84</v>
      </c>
      <c r="N36" s="6">
        <v>18218</v>
      </c>
      <c r="O36" s="6">
        <v>7789</v>
      </c>
      <c r="P36" s="6">
        <v>10429</v>
      </c>
    </row>
    <row r="37" spans="1:16" x14ac:dyDescent="0.15">
      <c r="A37" s="2">
        <v>2011</v>
      </c>
      <c r="B37" s="6">
        <v>34588</v>
      </c>
      <c r="C37" s="6">
        <v>12123</v>
      </c>
      <c r="D37" s="6">
        <v>22465</v>
      </c>
      <c r="E37" s="6">
        <v>34248</v>
      </c>
      <c r="F37" s="6">
        <v>12017</v>
      </c>
      <c r="G37" s="6">
        <v>22231</v>
      </c>
      <c r="H37" s="6">
        <v>4559</v>
      </c>
      <c r="I37" s="6">
        <v>1769</v>
      </c>
      <c r="J37" s="6">
        <v>2790</v>
      </c>
      <c r="K37" s="6">
        <v>340</v>
      </c>
      <c r="L37" s="6">
        <v>106</v>
      </c>
      <c r="M37" s="6">
        <v>234</v>
      </c>
      <c r="N37" s="6">
        <v>29689</v>
      </c>
      <c r="O37" s="6">
        <v>10248</v>
      </c>
      <c r="P37" s="6">
        <v>19441</v>
      </c>
    </row>
    <row r="38" spans="1:16" x14ac:dyDescent="0.15">
      <c r="A38" s="2">
        <v>2012</v>
      </c>
      <c r="B38" s="6">
        <v>13687</v>
      </c>
      <c r="C38" s="6">
        <v>5851</v>
      </c>
      <c r="D38" s="6">
        <v>7836</v>
      </c>
      <c r="E38" s="6">
        <v>13463</v>
      </c>
      <c r="F38" s="6">
        <v>5764</v>
      </c>
      <c r="G38" s="6">
        <v>7699</v>
      </c>
      <c r="H38" s="6">
        <v>3949</v>
      </c>
      <c r="I38" s="6">
        <v>1836</v>
      </c>
      <c r="J38" s="6">
        <v>2113</v>
      </c>
      <c r="K38" s="6">
        <v>224</v>
      </c>
      <c r="L38" s="6">
        <v>87</v>
      </c>
      <c r="M38" s="6">
        <v>137</v>
      </c>
      <c r="N38" s="6">
        <v>9514</v>
      </c>
      <c r="O38" s="6">
        <v>3928</v>
      </c>
      <c r="P38" s="6">
        <v>5586</v>
      </c>
    </row>
    <row r="39" spans="1:16" x14ac:dyDescent="0.15">
      <c r="A39" s="2">
        <v>2013</v>
      </c>
      <c r="B39" s="6">
        <v>15828</v>
      </c>
      <c r="C39" s="6">
        <v>8025.5079999999998</v>
      </c>
      <c r="D39" s="6">
        <v>7802.4920000000002</v>
      </c>
      <c r="E39" s="6">
        <v>15828</v>
      </c>
      <c r="F39" s="6">
        <v>8025.5079999999998</v>
      </c>
      <c r="G39" s="6">
        <v>7802.4920000000002</v>
      </c>
      <c r="H39" s="6">
        <v>3196</v>
      </c>
      <c r="I39" s="6">
        <v>1643</v>
      </c>
      <c r="J39" s="6">
        <v>1553</v>
      </c>
      <c r="K39" s="6">
        <v>0</v>
      </c>
      <c r="L39" s="6">
        <v>0</v>
      </c>
      <c r="M39" s="6">
        <v>0</v>
      </c>
      <c r="N39" s="6">
        <v>12632</v>
      </c>
      <c r="O39" s="6">
        <v>6382.5079999999998</v>
      </c>
      <c r="P39" s="6">
        <v>6249.4920000000002</v>
      </c>
    </row>
    <row r="40" spans="1:16" x14ac:dyDescent="0.15">
      <c r="A40" s="2">
        <v>2014</v>
      </c>
      <c r="B40" s="6">
        <v>40145</v>
      </c>
      <c r="C40" s="6">
        <v>19189.106999999996</v>
      </c>
      <c r="D40" s="6">
        <v>20955.893000000004</v>
      </c>
      <c r="E40" s="6">
        <v>39745</v>
      </c>
      <c r="F40" s="6">
        <v>18998.106999999996</v>
      </c>
      <c r="G40" s="6">
        <v>20746.893000000004</v>
      </c>
      <c r="H40" s="6">
        <v>2881</v>
      </c>
      <c r="I40" s="6">
        <v>1622</v>
      </c>
      <c r="J40" s="6">
        <v>1259</v>
      </c>
      <c r="K40" s="6">
        <v>400</v>
      </c>
      <c r="L40" s="6">
        <v>191</v>
      </c>
      <c r="M40" s="6">
        <v>209</v>
      </c>
      <c r="N40" s="6">
        <v>36864</v>
      </c>
      <c r="O40" s="6">
        <v>17376.106999999996</v>
      </c>
      <c r="P40" s="6">
        <v>19487.893000000004</v>
      </c>
    </row>
    <row r="41" spans="1:16" x14ac:dyDescent="0.15">
      <c r="A41" s="2">
        <v>2015</v>
      </c>
      <c r="B41" s="6">
        <v>33159</v>
      </c>
      <c r="C41" s="6">
        <v>16203.642317380367</v>
      </c>
      <c r="D41" s="6">
        <v>16955.357682619633</v>
      </c>
      <c r="E41" s="6">
        <v>33159</v>
      </c>
      <c r="F41" s="6">
        <v>16203.642317380367</v>
      </c>
      <c r="G41" s="6">
        <v>16955.357682619633</v>
      </c>
      <c r="H41" s="6">
        <v>3871</v>
      </c>
      <c r="I41" s="6">
        <v>1891.6221662468531</v>
      </c>
      <c r="J41" s="6">
        <v>1979.3778337531469</v>
      </c>
      <c r="K41" s="6">
        <v>0</v>
      </c>
      <c r="L41" s="6">
        <v>0</v>
      </c>
      <c r="M41" s="6">
        <v>0</v>
      </c>
      <c r="N41" s="6">
        <v>29288</v>
      </c>
      <c r="O41" s="6">
        <v>14312.020151133514</v>
      </c>
      <c r="P41" s="6">
        <v>14975.979848866486</v>
      </c>
    </row>
    <row r="42" spans="1:16" x14ac:dyDescent="0.15">
      <c r="A42" s="2">
        <v>2016</v>
      </c>
      <c r="B42" s="6">
        <v>38631</v>
      </c>
      <c r="C42" s="6">
        <v>14969.45</v>
      </c>
      <c r="D42" s="6">
        <v>23664.55</v>
      </c>
      <c r="E42" s="6">
        <v>38458</v>
      </c>
      <c r="F42" s="6">
        <v>14917.45</v>
      </c>
      <c r="G42" s="6">
        <v>23543.55</v>
      </c>
      <c r="H42" s="6">
        <v>4315</v>
      </c>
      <c r="I42" s="6">
        <v>1672</v>
      </c>
      <c r="J42" s="6">
        <v>2643</v>
      </c>
      <c r="K42" s="6">
        <v>173</v>
      </c>
      <c r="L42" s="6">
        <v>52</v>
      </c>
      <c r="M42" s="6">
        <v>121</v>
      </c>
      <c r="N42" s="6">
        <v>34143</v>
      </c>
      <c r="O42" s="6">
        <v>13245.45</v>
      </c>
      <c r="P42" s="6">
        <v>20900.55</v>
      </c>
    </row>
    <row r="43" spans="1:16" x14ac:dyDescent="0.15">
      <c r="A43" s="2">
        <v>2017</v>
      </c>
      <c r="B43" s="6">
        <v>19241</v>
      </c>
      <c r="C43" s="6">
        <v>10043.802</v>
      </c>
      <c r="D43" s="6">
        <v>9197.1980000000003</v>
      </c>
      <c r="E43" s="6">
        <v>19241</v>
      </c>
      <c r="F43" s="6">
        <v>10043.802</v>
      </c>
      <c r="G43" s="6">
        <v>9197.1980000000003</v>
      </c>
      <c r="H43" s="6">
        <v>2909</v>
      </c>
      <c r="I43" s="6">
        <v>1518.498</v>
      </c>
      <c r="J43" s="6">
        <v>1390.502</v>
      </c>
      <c r="K43" s="6">
        <v>0</v>
      </c>
      <c r="L43" s="6">
        <v>0</v>
      </c>
      <c r="M43" s="6">
        <v>0</v>
      </c>
      <c r="N43" s="6">
        <v>16332</v>
      </c>
      <c r="O43" s="6">
        <v>8525.3040000000001</v>
      </c>
      <c r="P43" s="6">
        <v>7806.6959999999999</v>
      </c>
    </row>
    <row r="44" spans="1:16" x14ac:dyDescent="0.15">
      <c r="A44" s="2">
        <v>2018</v>
      </c>
      <c r="B44" s="6">
        <v>16557</v>
      </c>
      <c r="C44" s="6">
        <v>8273.3720354652869</v>
      </c>
      <c r="D44" s="6">
        <v>8283.6279645347113</v>
      </c>
      <c r="E44" s="6">
        <v>16350</v>
      </c>
      <c r="F44" s="6">
        <v>8146.3720354652878</v>
      </c>
      <c r="G44" s="6">
        <v>8203.6279645347113</v>
      </c>
      <c r="H44" s="6">
        <v>1878</v>
      </c>
      <c r="I44" s="6">
        <v>936</v>
      </c>
      <c r="J44" s="6">
        <v>942</v>
      </c>
      <c r="K44" s="6">
        <v>207</v>
      </c>
      <c r="L44" s="6">
        <v>127</v>
      </c>
      <c r="M44" s="6">
        <v>80</v>
      </c>
      <c r="N44" s="6">
        <v>14472</v>
      </c>
      <c r="O44" s="6">
        <v>7210.3720354652878</v>
      </c>
      <c r="P44" s="6">
        <v>7261.6279645347113</v>
      </c>
    </row>
    <row r="45" spans="1:16" x14ac:dyDescent="0.15">
      <c r="A45" s="2">
        <v>2019</v>
      </c>
      <c r="B45" s="6">
        <v>36999</v>
      </c>
      <c r="C45" s="6">
        <v>20437.54285714286</v>
      </c>
      <c r="D45" s="6">
        <v>16561.45714285714</v>
      </c>
      <c r="E45" s="6">
        <v>36787</v>
      </c>
      <c r="F45" s="6">
        <v>20320.4380952381</v>
      </c>
      <c r="G45" s="6">
        <v>16466.561904761904</v>
      </c>
      <c r="H45" s="6">
        <v>3579</v>
      </c>
      <c r="I45" s="6">
        <v>1283.3787878787878</v>
      </c>
      <c r="J45" s="6">
        <v>2295.621212121212</v>
      </c>
      <c r="K45" s="6">
        <v>212</v>
      </c>
      <c r="L45" s="6">
        <v>117.10476190476192</v>
      </c>
      <c r="M45" s="6">
        <v>94.895238095238085</v>
      </c>
      <c r="N45" s="6">
        <v>33208</v>
      </c>
      <c r="O45" s="6">
        <v>19037.059307359312</v>
      </c>
      <c r="P45" s="6">
        <v>14170.94069264069</v>
      </c>
    </row>
    <row r="46" spans="1:16" x14ac:dyDescent="0.15">
      <c r="A46" s="2">
        <v>2020</v>
      </c>
      <c r="B46" s="6">
        <v>11158</v>
      </c>
      <c r="C46" s="6">
        <v>6476.7433302509489</v>
      </c>
      <c r="D46" s="6">
        <v>4681.2566697490511</v>
      </c>
      <c r="E46" s="6">
        <v>11158</v>
      </c>
      <c r="F46" s="6">
        <v>6476.7433302509489</v>
      </c>
      <c r="G46" s="6">
        <v>4681.2566697490511</v>
      </c>
      <c r="H46" s="6">
        <v>384</v>
      </c>
      <c r="I46" s="6">
        <v>223</v>
      </c>
      <c r="J46" s="6">
        <v>161</v>
      </c>
      <c r="K46" s="6">
        <v>0</v>
      </c>
      <c r="L46" s="6">
        <v>0</v>
      </c>
      <c r="M46" s="6">
        <v>0</v>
      </c>
      <c r="N46" s="6">
        <v>10774</v>
      </c>
      <c r="O46" s="6">
        <v>6253.7433302509489</v>
      </c>
      <c r="P46" s="6">
        <v>4520.2566697490511</v>
      </c>
    </row>
    <row r="47" spans="1:16" x14ac:dyDescent="0.15">
      <c r="A47" s="2">
        <v>2021</v>
      </c>
      <c r="B47" s="6">
        <v>43246</v>
      </c>
      <c r="C47" s="6">
        <v>27720.286</v>
      </c>
      <c r="D47" s="6">
        <v>15525.713999999998</v>
      </c>
      <c r="E47" s="6">
        <v>42846</v>
      </c>
      <c r="F47" s="6">
        <v>27464.286</v>
      </c>
      <c r="G47" s="6">
        <v>15381.713999999998</v>
      </c>
      <c r="H47" s="6">
        <v>1217</v>
      </c>
      <c r="I47" s="6">
        <v>1004.025</v>
      </c>
      <c r="J47" s="6">
        <v>212.97500000000002</v>
      </c>
      <c r="K47" s="6">
        <v>400</v>
      </c>
      <c r="L47" s="6">
        <v>256</v>
      </c>
      <c r="M47" s="6">
        <v>144</v>
      </c>
      <c r="N47" s="6">
        <v>41629</v>
      </c>
      <c r="O47" s="6">
        <v>26460.260999999999</v>
      </c>
      <c r="P47" s="6">
        <v>15168.738999999998</v>
      </c>
    </row>
    <row r="48" spans="1:16" x14ac:dyDescent="0.15">
      <c r="A48" s="2">
        <v>2022</v>
      </c>
      <c r="B48" s="6">
        <v>53172</v>
      </c>
      <c r="C48" s="6">
        <v>42271.372000000003</v>
      </c>
      <c r="D48" s="6">
        <v>10900.627999999995</v>
      </c>
      <c r="E48" s="6">
        <v>52772</v>
      </c>
      <c r="F48" s="6">
        <v>41953.372000000003</v>
      </c>
      <c r="G48" s="6">
        <v>10818.627999999995</v>
      </c>
      <c r="H48" s="6">
        <v>1624</v>
      </c>
      <c r="I48" s="6">
        <v>1229</v>
      </c>
      <c r="J48" s="6">
        <v>395</v>
      </c>
      <c r="K48" s="6">
        <v>400</v>
      </c>
      <c r="L48" s="6">
        <v>318</v>
      </c>
      <c r="M48" s="6">
        <v>82</v>
      </c>
      <c r="N48" s="6">
        <v>51148</v>
      </c>
      <c r="O48" s="6">
        <v>40724.372000000003</v>
      </c>
      <c r="P48" s="6">
        <v>10423.627999999995</v>
      </c>
    </row>
    <row r="49" spans="1:48" x14ac:dyDescent="0.15">
      <c r="A49" s="126">
        <v>2023</v>
      </c>
      <c r="B49" s="140">
        <v>37759</v>
      </c>
      <c r="C49" s="140">
        <v>26469</v>
      </c>
      <c r="D49" s="140">
        <v>11290</v>
      </c>
      <c r="E49" s="140">
        <v>37359</v>
      </c>
      <c r="F49" s="140">
        <v>26189</v>
      </c>
      <c r="G49" s="140">
        <v>11170</v>
      </c>
      <c r="H49" s="140">
        <v>1974</v>
      </c>
      <c r="I49" s="140">
        <v>1384</v>
      </c>
      <c r="J49" s="126">
        <v>590</v>
      </c>
      <c r="K49" s="126">
        <v>400</v>
      </c>
      <c r="L49" s="126">
        <v>280</v>
      </c>
      <c r="M49" s="126">
        <v>120</v>
      </c>
      <c r="N49" s="140">
        <v>35385</v>
      </c>
      <c r="O49" s="140">
        <v>24805</v>
      </c>
      <c r="P49" s="140">
        <v>10580</v>
      </c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</row>
    <row r="50" spans="1:48" x14ac:dyDescent="0.15">
      <c r="A50" s="111">
        <v>2024</v>
      </c>
      <c r="B50" s="145">
        <v>78419</v>
      </c>
      <c r="C50" s="145">
        <v>21879</v>
      </c>
      <c r="D50" s="145">
        <v>56540</v>
      </c>
      <c r="E50" s="145">
        <v>78019</v>
      </c>
      <c r="F50" s="145">
        <v>21767</v>
      </c>
      <c r="G50" s="145">
        <v>56252</v>
      </c>
      <c r="H50" s="145">
        <v>1634</v>
      </c>
      <c r="I50" s="111">
        <v>456</v>
      </c>
      <c r="J50" s="145">
        <v>1178</v>
      </c>
      <c r="K50" s="111">
        <v>400</v>
      </c>
      <c r="L50" s="111">
        <v>112</v>
      </c>
      <c r="M50" s="111">
        <v>288</v>
      </c>
      <c r="N50" s="145">
        <v>76385</v>
      </c>
      <c r="O50" s="145">
        <v>21311</v>
      </c>
      <c r="P50" s="145">
        <v>55074</v>
      </c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</row>
    <row r="51" spans="1:48" x14ac:dyDescent="0.15">
      <c r="A51" s="126" t="s">
        <v>24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</row>
    <row r="52" spans="1:48" x14ac:dyDescent="0.15">
      <c r="A52" s="111" t="s">
        <v>302</v>
      </c>
      <c r="B52" s="145">
        <v>33007</v>
      </c>
      <c r="C52" s="145">
        <v>19205</v>
      </c>
      <c r="D52" s="145">
        <v>13802</v>
      </c>
      <c r="E52" s="145">
        <v>32788</v>
      </c>
      <c r="F52" s="145">
        <v>19071</v>
      </c>
      <c r="G52" s="145">
        <v>13717</v>
      </c>
      <c r="H52" s="145">
        <v>2463</v>
      </c>
      <c r="I52" s="145">
        <v>1276</v>
      </c>
      <c r="J52" s="145">
        <v>1187</v>
      </c>
      <c r="K52" s="111">
        <v>219</v>
      </c>
      <c r="L52" s="111">
        <v>134</v>
      </c>
      <c r="M52" s="111">
        <v>85</v>
      </c>
      <c r="N52" s="145">
        <v>30324</v>
      </c>
      <c r="O52" s="145">
        <v>17795</v>
      </c>
      <c r="P52" s="145">
        <v>12530</v>
      </c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</row>
    <row r="53" spans="1:48" ht="15" x14ac:dyDescent="0.15">
      <c r="A53" s="197" t="s">
        <v>336</v>
      </c>
      <c r="B53" s="197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</row>
  </sheetData>
  <mergeCells count="6">
    <mergeCell ref="N3:P3"/>
    <mergeCell ref="A53:B53"/>
    <mergeCell ref="B3:D3"/>
    <mergeCell ref="E3:G3"/>
    <mergeCell ref="H3:J3"/>
    <mergeCell ref="K3:M3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6"/>
  <sheetViews>
    <sheetView topLeftCell="A21" workbookViewId="0">
      <selection activeCell="J59" sqref="J59"/>
    </sheetView>
  </sheetViews>
  <sheetFormatPr baseColWidth="10" defaultColWidth="9.1640625" defaultRowHeight="13" x14ac:dyDescent="0.15"/>
  <cols>
    <col min="1" max="1" width="8.83203125" style="2" customWidth="1"/>
    <col min="2" max="5" width="9.1640625" style="2"/>
    <col min="6" max="6" width="13.6640625" style="2" customWidth="1"/>
    <col min="7" max="8" width="9.1640625" style="2"/>
    <col min="9" max="9" width="12.33203125" style="2" customWidth="1"/>
    <col min="10" max="16384" width="9.1640625" style="2"/>
  </cols>
  <sheetData>
    <row r="1" spans="1:47" x14ac:dyDescent="0.15">
      <c r="A1" s="119" t="s">
        <v>273</v>
      </c>
      <c r="B1" s="119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</row>
    <row r="2" spans="1:47" x14ac:dyDescent="0.15">
      <c r="A2" s="146" t="s">
        <v>34</v>
      </c>
      <c r="B2" s="146"/>
      <c r="C2" s="111"/>
      <c r="D2" s="111"/>
      <c r="E2" s="111"/>
      <c r="F2" s="111"/>
      <c r="G2" s="111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</row>
    <row r="3" spans="1:47" x14ac:dyDescent="0.15">
      <c r="A3" s="147" t="s">
        <v>35</v>
      </c>
      <c r="B3" s="147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</row>
    <row r="4" spans="1:47" x14ac:dyDescent="0.15">
      <c r="A4" s="119" t="s">
        <v>338</v>
      </c>
      <c r="B4" s="119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</row>
    <row r="5" spans="1:47" x14ac:dyDescent="0.15">
      <c r="A5" s="146" t="s">
        <v>339</v>
      </c>
      <c r="B5" s="146"/>
      <c r="C5" s="111"/>
      <c r="D5" s="111"/>
      <c r="E5" s="111"/>
      <c r="F5" s="111"/>
      <c r="G5" s="111"/>
      <c r="H5" s="111"/>
      <c r="I5" s="111"/>
      <c r="J5" s="111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</row>
    <row r="6" spans="1:47" ht="16" x14ac:dyDescent="0.3">
      <c r="A6" s="198"/>
      <c r="B6" s="198"/>
      <c r="C6" s="126"/>
      <c r="D6" s="126"/>
      <c r="E6" s="126"/>
      <c r="F6" s="126"/>
      <c r="G6" s="199" t="s">
        <v>340</v>
      </c>
      <c r="H6" s="199"/>
      <c r="I6" s="199" t="s">
        <v>341</v>
      </c>
      <c r="J6" s="199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</row>
    <row r="7" spans="1:47" x14ac:dyDescent="0.15">
      <c r="A7" s="110" t="s">
        <v>10</v>
      </c>
      <c r="B7" s="111" t="s">
        <v>36</v>
      </c>
      <c r="C7" s="111" t="s">
        <v>37</v>
      </c>
      <c r="D7" s="111" t="s">
        <v>38</v>
      </c>
      <c r="E7" s="111" t="s">
        <v>274</v>
      </c>
      <c r="F7" s="111" t="s">
        <v>39</v>
      </c>
      <c r="G7" s="111" t="s">
        <v>342</v>
      </c>
      <c r="H7" s="111" t="s">
        <v>343</v>
      </c>
      <c r="I7" s="111" t="s">
        <v>36</v>
      </c>
      <c r="J7" s="111" t="s">
        <v>37</v>
      </c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</row>
    <row r="8" spans="1:47" x14ac:dyDescent="0.15">
      <c r="A8" s="116">
        <v>1979</v>
      </c>
      <c r="B8" s="126">
        <v>0.433</v>
      </c>
      <c r="C8" s="126">
        <v>0.56699999999999995</v>
      </c>
      <c r="D8" s="126"/>
      <c r="E8" s="126"/>
      <c r="F8" s="126"/>
      <c r="G8" s="126"/>
      <c r="H8" s="126"/>
      <c r="I8" s="141">
        <v>0.433</v>
      </c>
      <c r="J8" s="141">
        <v>0.56699999999999995</v>
      </c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</row>
    <row r="9" spans="1:47" x14ac:dyDescent="0.15">
      <c r="A9" s="116">
        <v>1980</v>
      </c>
      <c r="B9" s="126">
        <v>0.30499999999999999</v>
      </c>
      <c r="C9" s="126">
        <v>0.69499999999999995</v>
      </c>
      <c r="D9" s="126"/>
      <c r="E9" s="126"/>
      <c r="F9" s="126"/>
      <c r="G9" s="126"/>
      <c r="H9" s="126"/>
      <c r="I9" s="141">
        <v>0.30499999999999999</v>
      </c>
      <c r="J9" s="141">
        <v>0.69499999999999995</v>
      </c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</row>
    <row r="10" spans="1:47" x14ac:dyDescent="0.15">
      <c r="A10" s="116">
        <v>1981</v>
      </c>
      <c r="B10" s="126">
        <v>0.47499999999999998</v>
      </c>
      <c r="C10" s="126">
        <v>0.52500000000000002</v>
      </c>
      <c r="D10" s="126"/>
      <c r="E10" s="126"/>
      <c r="F10" s="126"/>
      <c r="G10" s="126"/>
      <c r="H10" s="126"/>
      <c r="I10" s="141">
        <v>0.47499999999999998</v>
      </c>
      <c r="J10" s="141">
        <v>0.52500000000000002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</row>
    <row r="11" spans="1:47" x14ac:dyDescent="0.15">
      <c r="A11" s="116">
        <v>1982</v>
      </c>
      <c r="B11" s="126">
        <v>0.61799999999999999</v>
      </c>
      <c r="C11" s="126">
        <v>0.38200000000000001</v>
      </c>
      <c r="D11" s="126"/>
      <c r="E11" s="126"/>
      <c r="F11" s="126"/>
      <c r="G11" s="126"/>
      <c r="H11" s="126"/>
      <c r="I11" s="141">
        <v>0.61799999999999999</v>
      </c>
      <c r="J11" s="141">
        <v>0.38200000000000001</v>
      </c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</row>
    <row r="12" spans="1:47" x14ac:dyDescent="0.15">
      <c r="A12" s="116">
        <v>1983</v>
      </c>
      <c r="B12" s="126">
        <v>0.45600000000000002</v>
      </c>
      <c r="C12" s="126">
        <v>0.54400000000000004</v>
      </c>
      <c r="D12" s="126"/>
      <c r="E12" s="126"/>
      <c r="F12" s="126"/>
      <c r="G12" s="126"/>
      <c r="H12" s="126"/>
      <c r="I12" s="141">
        <v>0.45600000000000002</v>
      </c>
      <c r="J12" s="141">
        <v>0.54400000000000004</v>
      </c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</row>
    <row r="13" spans="1:47" x14ac:dyDescent="0.15">
      <c r="A13" s="116">
        <v>1984</v>
      </c>
      <c r="B13" s="126">
        <v>0.49299999999999999</v>
      </c>
      <c r="C13" s="126">
        <v>0.50700000000000001</v>
      </c>
      <c r="D13" s="126"/>
      <c r="E13" s="126"/>
      <c r="F13" s="126"/>
      <c r="G13" s="126"/>
      <c r="H13" s="126"/>
      <c r="I13" s="141">
        <v>0.49299999999999999</v>
      </c>
      <c r="J13" s="141">
        <v>0.50700000000000001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</row>
    <row r="14" spans="1:47" x14ac:dyDescent="0.15">
      <c r="A14" s="116">
        <v>1985</v>
      </c>
      <c r="B14" s="126">
        <v>0.46600000000000003</v>
      </c>
      <c r="C14" s="126">
        <v>0.53400000000000003</v>
      </c>
      <c r="D14" s="126"/>
      <c r="E14" s="126"/>
      <c r="F14" s="126"/>
      <c r="G14" s="126"/>
      <c r="H14" s="126"/>
      <c r="I14" s="141">
        <v>0.46600000000000003</v>
      </c>
      <c r="J14" s="141">
        <v>0.53400000000000003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</row>
    <row r="15" spans="1:47" x14ac:dyDescent="0.15">
      <c r="A15" s="116">
        <v>1986</v>
      </c>
      <c r="B15" s="126">
        <v>0.44900000000000001</v>
      </c>
      <c r="C15" s="126">
        <v>0.55100000000000005</v>
      </c>
      <c r="D15" s="126"/>
      <c r="E15" s="126"/>
      <c r="F15" s="126"/>
      <c r="G15" s="126"/>
      <c r="H15" s="126"/>
      <c r="I15" s="141">
        <v>0.44900000000000001</v>
      </c>
      <c r="J15" s="141">
        <v>0.55100000000000005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</row>
    <row r="16" spans="1:47" x14ac:dyDescent="0.15">
      <c r="A16" s="116">
        <v>1987</v>
      </c>
      <c r="B16" s="126">
        <v>0.30399999999999999</v>
      </c>
      <c r="C16" s="126">
        <v>0.69599999999999995</v>
      </c>
      <c r="D16" s="126"/>
      <c r="E16" s="126"/>
      <c r="F16" s="126"/>
      <c r="G16" s="126"/>
      <c r="H16" s="126"/>
      <c r="I16" s="141">
        <v>0.30399999999999999</v>
      </c>
      <c r="J16" s="141">
        <v>0.69599999999999995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</row>
    <row r="17" spans="1:47" x14ac:dyDescent="0.15">
      <c r="A17" s="116">
        <v>1988</v>
      </c>
      <c r="B17" s="126">
        <v>0.17199999999999999</v>
      </c>
      <c r="C17" s="126">
        <v>0.82799999999999996</v>
      </c>
      <c r="D17" s="126"/>
      <c r="E17" s="126"/>
      <c r="F17" s="126"/>
      <c r="G17" s="126"/>
      <c r="H17" s="126"/>
      <c r="I17" s="141">
        <v>0.17199999999999999</v>
      </c>
      <c r="J17" s="141">
        <v>0.82799999999999996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</row>
    <row r="18" spans="1:47" x14ac:dyDescent="0.15">
      <c r="A18" s="116">
        <v>1989</v>
      </c>
      <c r="B18" s="126">
        <v>0.188</v>
      </c>
      <c r="C18" s="126">
        <v>0.81200000000000006</v>
      </c>
      <c r="D18" s="126"/>
      <c r="E18" s="126"/>
      <c r="F18" s="126"/>
      <c r="G18" s="126"/>
      <c r="H18" s="126"/>
      <c r="I18" s="141">
        <v>0.188</v>
      </c>
      <c r="J18" s="141">
        <v>0.81200000000000006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</row>
    <row r="19" spans="1:47" x14ac:dyDescent="0.15">
      <c r="A19" s="116">
        <v>1990</v>
      </c>
      <c r="B19" s="126">
        <v>0.41699999999999998</v>
      </c>
      <c r="C19" s="126">
        <v>0.58299999999999996</v>
      </c>
      <c r="D19" s="126"/>
      <c r="E19" s="126"/>
      <c r="F19" s="126"/>
      <c r="G19" s="126"/>
      <c r="H19" s="126"/>
      <c r="I19" s="141">
        <v>0.41699999999999998</v>
      </c>
      <c r="J19" s="141">
        <v>0.58299999999999996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</row>
    <row r="20" spans="1:47" x14ac:dyDescent="0.15">
      <c r="A20" s="116">
        <v>1991</v>
      </c>
      <c r="B20" s="126">
        <v>0.56100000000000005</v>
      </c>
      <c r="C20" s="126">
        <v>0.439</v>
      </c>
      <c r="D20" s="126"/>
      <c r="E20" s="126"/>
      <c r="F20" s="126"/>
      <c r="G20" s="126"/>
      <c r="H20" s="126"/>
      <c r="I20" s="141">
        <v>0.56100000000000005</v>
      </c>
      <c r="J20" s="141">
        <v>0.439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</row>
    <row r="21" spans="1:47" x14ac:dyDescent="0.15">
      <c r="A21" s="116">
        <v>1992</v>
      </c>
      <c r="B21" s="126">
        <v>0.496</v>
      </c>
      <c r="C21" s="126">
        <v>0.504</v>
      </c>
      <c r="D21" s="126"/>
      <c r="E21" s="126"/>
      <c r="F21" s="126"/>
      <c r="G21" s="126"/>
      <c r="H21" s="126"/>
      <c r="I21" s="141">
        <v>0.496</v>
      </c>
      <c r="J21" s="141">
        <v>0.504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</row>
    <row r="22" spans="1:47" x14ac:dyDescent="0.15">
      <c r="A22" s="116">
        <v>1993</v>
      </c>
      <c r="B22" s="126">
        <v>0.47699999999999998</v>
      </c>
      <c r="C22" s="126">
        <v>0.52300000000000002</v>
      </c>
      <c r="D22" s="126"/>
      <c r="E22" s="126"/>
      <c r="F22" s="126"/>
      <c r="G22" s="126"/>
      <c r="H22" s="126"/>
      <c r="I22" s="141">
        <v>0.47699999999999998</v>
      </c>
      <c r="J22" s="141">
        <v>0.52300000000000002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</row>
    <row r="23" spans="1:47" x14ac:dyDescent="0.15">
      <c r="A23" s="116">
        <v>1994</v>
      </c>
      <c r="B23" s="126">
        <v>0.60599999999999998</v>
      </c>
      <c r="C23" s="126">
        <v>0.39400000000000002</v>
      </c>
      <c r="D23" s="126"/>
      <c r="E23" s="126"/>
      <c r="F23" s="126" t="s">
        <v>40</v>
      </c>
      <c r="G23" s="126"/>
      <c r="H23" s="126"/>
      <c r="I23" s="141">
        <v>0.60599999999999998</v>
      </c>
      <c r="J23" s="141">
        <v>0.39400000000000002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</row>
    <row r="24" spans="1:47" x14ac:dyDescent="0.15">
      <c r="A24" s="116">
        <v>1995</v>
      </c>
      <c r="B24" s="126">
        <v>0.57799999999999996</v>
      </c>
      <c r="C24" s="126">
        <v>0.40600000000000003</v>
      </c>
      <c r="D24" s="126">
        <v>1.6E-2</v>
      </c>
      <c r="E24" s="126"/>
      <c r="F24" s="126" t="s">
        <v>40</v>
      </c>
      <c r="G24" s="126"/>
      <c r="H24" s="126"/>
      <c r="I24" s="141">
        <v>0.58699999999999997</v>
      </c>
      <c r="J24" s="141">
        <v>0.41299999999999998</v>
      </c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</row>
    <row r="25" spans="1:47" x14ac:dyDescent="0.15">
      <c r="A25" s="116">
        <v>1996</v>
      </c>
      <c r="B25" s="126">
        <v>0.51900000000000002</v>
      </c>
      <c r="C25" s="126">
        <v>0.377</v>
      </c>
      <c r="D25" s="126">
        <v>0.104</v>
      </c>
      <c r="E25" s="126"/>
      <c r="F25" s="126" t="s">
        <v>40</v>
      </c>
      <c r="G25" s="126"/>
      <c r="H25" s="126"/>
      <c r="I25" s="141">
        <v>0.57899999999999996</v>
      </c>
      <c r="J25" s="141">
        <v>0.42099999999999999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</row>
    <row r="26" spans="1:47" x14ac:dyDescent="0.15">
      <c r="A26" s="116">
        <v>1997</v>
      </c>
      <c r="B26" s="126">
        <v>0.29699999999999999</v>
      </c>
      <c r="C26" s="126">
        <v>0.47399999999999998</v>
      </c>
      <c r="D26" s="126">
        <v>0.22900000000000001</v>
      </c>
      <c r="E26" s="126"/>
      <c r="F26" s="126" t="s">
        <v>40</v>
      </c>
      <c r="G26" s="126"/>
      <c r="H26" s="126"/>
      <c r="I26" s="141">
        <v>0.38500000000000001</v>
      </c>
      <c r="J26" s="141">
        <v>0.61499999999999999</v>
      </c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</row>
    <row r="27" spans="1:47" x14ac:dyDescent="0.15">
      <c r="A27" s="116">
        <v>1998</v>
      </c>
      <c r="B27" s="126">
        <v>0.309</v>
      </c>
      <c r="C27" s="126">
        <v>0.34399999999999997</v>
      </c>
      <c r="D27" s="126">
        <v>0.34799999999999998</v>
      </c>
      <c r="E27" s="126"/>
      <c r="F27" s="126" t="s">
        <v>40</v>
      </c>
      <c r="G27" s="126"/>
      <c r="H27" s="126"/>
      <c r="I27" s="141">
        <v>0.47299999999999998</v>
      </c>
      <c r="J27" s="141">
        <v>0.52700000000000002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</row>
    <row r="28" spans="1:47" x14ac:dyDescent="0.15">
      <c r="A28" s="116">
        <v>1999</v>
      </c>
      <c r="B28" s="126">
        <v>0.54500000000000004</v>
      </c>
      <c r="C28" s="126">
        <v>0.20899999999999999</v>
      </c>
      <c r="D28" s="126">
        <v>0.245</v>
      </c>
      <c r="E28" s="126"/>
      <c r="F28" s="126" t="s">
        <v>40</v>
      </c>
      <c r="G28" s="126"/>
      <c r="H28" s="126"/>
      <c r="I28" s="141">
        <v>0.72199999999999998</v>
      </c>
      <c r="J28" s="141">
        <v>0.27800000000000002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</row>
    <row r="29" spans="1:47" x14ac:dyDescent="0.15">
      <c r="A29" s="116">
        <v>2000</v>
      </c>
      <c r="B29" s="126">
        <v>0.26</v>
      </c>
      <c r="C29" s="126">
        <v>0.34899999999999998</v>
      </c>
      <c r="D29" s="126">
        <v>0.39100000000000001</v>
      </c>
      <c r="E29" s="126"/>
      <c r="F29" s="126" t="s">
        <v>40</v>
      </c>
      <c r="G29" s="126"/>
      <c r="H29" s="126"/>
      <c r="I29" s="141">
        <v>0.42599999999999999</v>
      </c>
      <c r="J29" s="141">
        <v>0.57399999999999995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</row>
    <row r="30" spans="1:47" x14ac:dyDescent="0.15">
      <c r="A30" s="116">
        <v>2001</v>
      </c>
      <c r="B30" s="126">
        <v>0.20200000000000001</v>
      </c>
      <c r="C30" s="126">
        <v>0.53</v>
      </c>
      <c r="D30" s="126">
        <v>0.26800000000000002</v>
      </c>
      <c r="E30" s="126"/>
      <c r="F30" s="38" t="s">
        <v>257</v>
      </c>
      <c r="G30" s="126"/>
      <c r="H30" s="126"/>
      <c r="I30" s="141">
        <v>0.27600000000000002</v>
      </c>
      <c r="J30" s="141">
        <v>0.72399999999999998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</row>
    <row r="31" spans="1:47" x14ac:dyDescent="0.15">
      <c r="A31" s="116">
        <v>2002</v>
      </c>
      <c r="B31" s="126">
        <v>0.36</v>
      </c>
      <c r="C31" s="126">
        <v>0.498</v>
      </c>
      <c r="D31" s="126">
        <v>0.14099999999999999</v>
      </c>
      <c r="E31" s="126"/>
      <c r="F31" s="38" t="s">
        <v>257</v>
      </c>
      <c r="G31" s="126"/>
      <c r="H31" s="126"/>
      <c r="I31" s="141">
        <v>0.42</v>
      </c>
      <c r="J31" s="141">
        <v>0.57999999999999996</v>
      </c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</row>
    <row r="32" spans="1:47" x14ac:dyDescent="0.15">
      <c r="A32" s="116">
        <v>2003</v>
      </c>
      <c r="B32" s="126">
        <v>0.42099999999999999</v>
      </c>
      <c r="C32" s="126">
        <v>0.42099999999999999</v>
      </c>
      <c r="D32" s="126">
        <v>0.158</v>
      </c>
      <c r="E32" s="126"/>
      <c r="F32" s="38" t="s">
        <v>257</v>
      </c>
      <c r="G32" s="126"/>
      <c r="H32" s="126"/>
      <c r="I32" s="141">
        <v>0.5</v>
      </c>
      <c r="J32" s="141">
        <v>0.5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</row>
    <row r="33" spans="1:47" x14ac:dyDescent="0.15">
      <c r="A33" s="116">
        <v>2004</v>
      </c>
      <c r="B33" s="126">
        <v>0.66400000000000003</v>
      </c>
      <c r="C33" s="126">
        <v>0.311</v>
      </c>
      <c r="D33" s="126">
        <v>2.5999999999999999E-2</v>
      </c>
      <c r="E33" s="126"/>
      <c r="F33" s="38" t="s">
        <v>40</v>
      </c>
      <c r="G33" s="126"/>
      <c r="H33" s="126"/>
      <c r="I33" s="141">
        <v>0.68100000000000005</v>
      </c>
      <c r="J33" s="141">
        <v>0.31900000000000001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</row>
    <row r="34" spans="1:47" x14ac:dyDescent="0.15">
      <c r="A34" s="116">
        <v>2005</v>
      </c>
      <c r="B34" s="126">
        <v>0.66200000000000003</v>
      </c>
      <c r="C34" s="126">
        <v>0.318</v>
      </c>
      <c r="D34" s="126">
        <v>0.02</v>
      </c>
      <c r="E34" s="126"/>
      <c r="F34" s="38" t="s">
        <v>40</v>
      </c>
      <c r="G34" s="126"/>
      <c r="H34" s="126"/>
      <c r="I34" s="141">
        <v>0.67500000000000004</v>
      </c>
      <c r="J34" s="141">
        <v>0.32500000000000001</v>
      </c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</row>
    <row r="35" spans="1:47" x14ac:dyDescent="0.15">
      <c r="A35" s="116">
        <v>2006</v>
      </c>
      <c r="B35" s="126">
        <v>0.67200000000000004</v>
      </c>
      <c r="C35" s="126">
        <v>0.185</v>
      </c>
      <c r="D35" s="126">
        <v>0.14399999999999999</v>
      </c>
      <c r="E35" s="126"/>
      <c r="F35" s="38" t="s">
        <v>40</v>
      </c>
      <c r="G35" s="126"/>
      <c r="H35" s="126"/>
      <c r="I35" s="141">
        <v>0.78400000000000003</v>
      </c>
      <c r="J35" s="141">
        <v>0.216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</row>
    <row r="36" spans="1:47" x14ac:dyDescent="0.15">
      <c r="A36" s="116">
        <v>2007</v>
      </c>
      <c r="B36" s="126">
        <v>0.54100000000000004</v>
      </c>
      <c r="C36" s="126">
        <v>0.29399999999999998</v>
      </c>
      <c r="D36" s="126">
        <v>0.16500000000000001</v>
      </c>
      <c r="E36" s="126"/>
      <c r="F36" s="38" t="s">
        <v>40</v>
      </c>
      <c r="G36" s="126"/>
      <c r="H36" s="126"/>
      <c r="I36" s="141">
        <v>0.64700000000000002</v>
      </c>
      <c r="J36" s="141">
        <v>0.35299999999999998</v>
      </c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</row>
    <row r="37" spans="1:47" x14ac:dyDescent="0.15">
      <c r="A37" s="116">
        <v>2008</v>
      </c>
      <c r="B37" s="126">
        <v>0.38500000000000001</v>
      </c>
      <c r="C37" s="126">
        <v>0.28899999999999998</v>
      </c>
      <c r="D37" s="126">
        <v>0.32600000000000001</v>
      </c>
      <c r="E37" s="126"/>
      <c r="F37" s="38" t="s">
        <v>40</v>
      </c>
      <c r="G37" s="126"/>
      <c r="H37" s="126"/>
      <c r="I37" s="141">
        <v>0.57099999999999995</v>
      </c>
      <c r="J37" s="141">
        <v>0.42899999999999999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</row>
    <row r="38" spans="1:47" x14ac:dyDescent="0.15">
      <c r="A38" s="116">
        <v>2009</v>
      </c>
      <c r="B38" s="126">
        <v>0.54100000000000004</v>
      </c>
      <c r="C38" s="126">
        <v>0.215</v>
      </c>
      <c r="D38" s="126">
        <v>0.24399999999999999</v>
      </c>
      <c r="E38" s="126"/>
      <c r="F38" s="38" t="s">
        <v>41</v>
      </c>
      <c r="G38" s="126"/>
      <c r="H38" s="126"/>
      <c r="I38" s="141">
        <v>0.71499999999999997</v>
      </c>
      <c r="J38" s="141">
        <v>0.28499999999999998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</row>
    <row r="39" spans="1:47" x14ac:dyDescent="0.15">
      <c r="A39" s="116">
        <v>2010</v>
      </c>
      <c r="B39" s="126">
        <v>0.41699999999999998</v>
      </c>
      <c r="C39" s="126">
        <v>0.29399999999999998</v>
      </c>
      <c r="D39" s="126">
        <v>0.28899999999999998</v>
      </c>
      <c r="E39" s="126"/>
      <c r="F39" s="38" t="s">
        <v>41</v>
      </c>
      <c r="G39" s="126"/>
      <c r="H39" s="126"/>
      <c r="I39" s="141">
        <v>0.58699999999999997</v>
      </c>
      <c r="J39" s="141">
        <v>0.41299999999999998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</row>
    <row r="40" spans="1:47" x14ac:dyDescent="0.15">
      <c r="A40" s="116">
        <v>2011</v>
      </c>
      <c r="B40" s="126">
        <v>0.46700000000000003</v>
      </c>
      <c r="C40" s="126">
        <v>0.32800000000000001</v>
      </c>
      <c r="D40" s="126">
        <v>0.20499999999999999</v>
      </c>
      <c r="E40" s="126"/>
      <c r="F40" s="38" t="s">
        <v>40</v>
      </c>
      <c r="G40" s="126"/>
      <c r="H40" s="126"/>
      <c r="I40" s="141">
        <v>0.58799999999999997</v>
      </c>
      <c r="J40" s="141">
        <v>0.41199999999999998</v>
      </c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</row>
    <row r="41" spans="1:47" x14ac:dyDescent="0.15">
      <c r="A41" s="116">
        <v>2012</v>
      </c>
      <c r="B41" s="126">
        <v>0.246</v>
      </c>
      <c r="C41" s="126">
        <v>0.49199999999999999</v>
      </c>
      <c r="D41" s="126">
        <v>0.26200000000000001</v>
      </c>
      <c r="E41" s="126"/>
      <c r="F41" s="38" t="s">
        <v>41</v>
      </c>
      <c r="G41" s="126"/>
      <c r="H41" s="126"/>
      <c r="I41" s="141">
        <v>0.33300000000000002</v>
      </c>
      <c r="J41" s="141">
        <v>0.66700000000000004</v>
      </c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</row>
    <row r="42" spans="1:47" x14ac:dyDescent="0.15">
      <c r="A42" s="116">
        <v>2013</v>
      </c>
      <c r="B42" s="126">
        <v>0.34599999999999997</v>
      </c>
      <c r="C42" s="126">
        <v>0.48899999999999999</v>
      </c>
      <c r="D42" s="126">
        <v>0.16600000000000001</v>
      </c>
      <c r="E42" s="126"/>
      <c r="F42" s="38" t="s">
        <v>41</v>
      </c>
      <c r="G42" s="126"/>
      <c r="H42" s="126"/>
      <c r="I42" s="141">
        <v>0.41399999999999998</v>
      </c>
      <c r="J42" s="141">
        <v>0.58599999999999997</v>
      </c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</row>
    <row r="43" spans="1:47" x14ac:dyDescent="0.15">
      <c r="A43" s="116">
        <v>2014</v>
      </c>
      <c r="B43" s="126">
        <v>0.52300000000000002</v>
      </c>
      <c r="C43" s="126">
        <v>0.223</v>
      </c>
      <c r="D43" s="126">
        <v>0.255</v>
      </c>
      <c r="E43" s="126"/>
      <c r="F43" s="38" t="s">
        <v>41</v>
      </c>
      <c r="G43" s="126"/>
      <c r="H43" s="126"/>
      <c r="I43" s="141">
        <v>0.70099999999999996</v>
      </c>
      <c r="J43" s="141">
        <v>0.29899999999999999</v>
      </c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</row>
    <row r="44" spans="1:47" x14ac:dyDescent="0.15">
      <c r="A44" s="116">
        <v>2015</v>
      </c>
      <c r="B44" s="126">
        <v>0.435</v>
      </c>
      <c r="C44" s="126">
        <v>0.28599999999999998</v>
      </c>
      <c r="D44" s="126">
        <v>0.27900000000000003</v>
      </c>
      <c r="E44" s="126"/>
      <c r="F44" s="38" t="s">
        <v>40</v>
      </c>
      <c r="G44" s="126"/>
      <c r="H44" s="126"/>
      <c r="I44" s="141">
        <v>0.60399999999999998</v>
      </c>
      <c r="J44" s="141">
        <v>0.39600000000000002</v>
      </c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</row>
    <row r="45" spans="1:47" x14ac:dyDescent="0.15">
      <c r="A45" s="116">
        <v>2016</v>
      </c>
      <c r="B45" s="126">
        <v>0.61099999999999999</v>
      </c>
      <c r="C45" s="126">
        <v>0.245</v>
      </c>
      <c r="D45" s="126">
        <v>0.14399999999999999</v>
      </c>
      <c r="E45" s="126"/>
      <c r="F45" s="38" t="s">
        <v>40</v>
      </c>
      <c r="G45" s="126"/>
      <c r="H45" s="126"/>
      <c r="I45" s="141">
        <v>0.71399999999999997</v>
      </c>
      <c r="J45" s="141">
        <v>0.28599999999999998</v>
      </c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</row>
    <row r="46" spans="1:47" x14ac:dyDescent="0.15">
      <c r="A46" s="116">
        <v>2017</v>
      </c>
      <c r="B46" s="126">
        <v>0.64700000000000002</v>
      </c>
      <c r="C46" s="126">
        <v>0.254</v>
      </c>
      <c r="D46" s="126">
        <v>9.9000000000000005E-2</v>
      </c>
      <c r="E46" s="126"/>
      <c r="F46" s="38" t="s">
        <v>40</v>
      </c>
      <c r="G46" s="126"/>
      <c r="H46" s="126"/>
      <c r="I46" s="141">
        <v>0.71799999999999997</v>
      </c>
      <c r="J46" s="141">
        <v>0.28199999999999997</v>
      </c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</row>
    <row r="47" spans="1:47" x14ac:dyDescent="0.15">
      <c r="A47" s="116">
        <v>2018</v>
      </c>
      <c r="B47" s="126">
        <v>0.63800000000000001</v>
      </c>
      <c r="C47" s="126">
        <v>0.32900000000000001</v>
      </c>
      <c r="D47" s="126">
        <v>3.3000000000000002E-2</v>
      </c>
      <c r="E47" s="126"/>
      <c r="F47" s="38" t="s">
        <v>40</v>
      </c>
      <c r="G47" s="126"/>
      <c r="H47" s="126"/>
      <c r="I47" s="141">
        <v>0.65900000000000003</v>
      </c>
      <c r="J47" s="141">
        <v>0.34100000000000003</v>
      </c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</row>
    <row r="48" spans="1:47" x14ac:dyDescent="0.15">
      <c r="A48" s="116">
        <v>2019</v>
      </c>
      <c r="B48" s="126">
        <v>0.66600000000000004</v>
      </c>
      <c r="C48" s="126">
        <v>0.33400000000000002</v>
      </c>
      <c r="D48" s="126"/>
      <c r="E48" s="126"/>
      <c r="F48" s="38" t="s">
        <v>42</v>
      </c>
      <c r="G48" s="126"/>
      <c r="H48" s="126"/>
      <c r="I48" s="141">
        <v>0.66600000000000004</v>
      </c>
      <c r="J48" s="141">
        <v>0.33400000000000002</v>
      </c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</row>
    <row r="49" spans="1:47" x14ac:dyDescent="0.15">
      <c r="A49" s="116">
        <v>2020</v>
      </c>
      <c r="B49" s="126">
        <v>0.70599999999999996</v>
      </c>
      <c r="C49" s="126">
        <v>0.29399999999999998</v>
      </c>
      <c r="D49" s="126"/>
      <c r="E49" s="126"/>
      <c r="F49" s="38" t="s">
        <v>41</v>
      </c>
      <c r="G49" s="126"/>
      <c r="H49" s="126"/>
      <c r="I49" s="141">
        <v>0.70599999999999996</v>
      </c>
      <c r="J49" s="141">
        <v>0.29399999999999998</v>
      </c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</row>
    <row r="50" spans="1:47" x14ac:dyDescent="0.15">
      <c r="A50" s="116">
        <v>2021</v>
      </c>
      <c r="B50" s="126">
        <v>0.55200000000000005</v>
      </c>
      <c r="C50" s="126">
        <v>0.374</v>
      </c>
      <c r="D50" s="126"/>
      <c r="E50" s="126">
        <v>7.2999999999999995E-2</v>
      </c>
      <c r="F50" s="38" t="s">
        <v>43</v>
      </c>
      <c r="G50" s="141">
        <v>0.55200000000000005</v>
      </c>
      <c r="H50" s="141">
        <v>0.44800000000000001</v>
      </c>
      <c r="I50" s="141">
        <v>0.59599999999999997</v>
      </c>
      <c r="J50" s="141">
        <v>0.40400000000000003</v>
      </c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</row>
    <row r="51" spans="1:47" x14ac:dyDescent="0.15">
      <c r="A51" s="116">
        <v>2022</v>
      </c>
      <c r="B51" s="126">
        <v>0.53300000000000003</v>
      </c>
      <c r="C51" s="126">
        <v>0.38</v>
      </c>
      <c r="D51" s="126"/>
      <c r="E51" s="126">
        <v>8.6999999999999994E-2</v>
      </c>
      <c r="F51" s="38" t="s">
        <v>43</v>
      </c>
      <c r="G51" s="141">
        <v>0.53300000000000003</v>
      </c>
      <c r="H51" s="141">
        <v>0.46700000000000003</v>
      </c>
      <c r="I51" s="141">
        <v>0.58299999999999996</v>
      </c>
      <c r="J51" s="141">
        <v>0.41699999999999998</v>
      </c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</row>
    <row r="52" spans="1:47" x14ac:dyDescent="0.15">
      <c r="A52" s="116">
        <v>2023</v>
      </c>
      <c r="B52" s="126">
        <v>0.71199999999999997</v>
      </c>
      <c r="C52" s="126">
        <v>0.26</v>
      </c>
      <c r="D52" s="126"/>
      <c r="E52" s="126">
        <v>2.8000000000000001E-2</v>
      </c>
      <c r="F52" s="38" t="s">
        <v>43</v>
      </c>
      <c r="G52" s="141">
        <v>0.71199999999999997</v>
      </c>
      <c r="H52" s="141">
        <v>0.28799999999999998</v>
      </c>
      <c r="I52" s="141">
        <v>0.73299999999999998</v>
      </c>
      <c r="J52" s="141">
        <v>0.26700000000000002</v>
      </c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</row>
    <row r="53" spans="1:47" x14ac:dyDescent="0.15">
      <c r="A53" s="110">
        <v>2024</v>
      </c>
      <c r="B53" s="115">
        <v>0.65200000000000002</v>
      </c>
      <c r="C53" s="115">
        <v>0.314</v>
      </c>
      <c r="D53" s="111"/>
      <c r="E53" s="115">
        <v>3.4000000000000002E-2</v>
      </c>
      <c r="F53" s="41" t="s">
        <v>43</v>
      </c>
      <c r="G53" s="143">
        <v>0.65200000000000002</v>
      </c>
      <c r="H53" s="143">
        <v>0.34799999999999998</v>
      </c>
      <c r="I53" s="143">
        <v>0.67500000000000004</v>
      </c>
      <c r="J53" s="143">
        <v>0.32500000000000001</v>
      </c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</row>
    <row r="54" spans="1:47" x14ac:dyDescent="0.15">
      <c r="A54" s="200" t="s">
        <v>24</v>
      </c>
      <c r="B54" s="200"/>
      <c r="C54" s="141"/>
      <c r="D54" s="141"/>
      <c r="E54" s="126"/>
      <c r="F54" s="141"/>
      <c r="G54" s="126"/>
      <c r="H54" s="126"/>
      <c r="I54" s="141"/>
      <c r="J54" s="141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</row>
    <row r="55" spans="1:47" x14ac:dyDescent="0.15">
      <c r="A55" s="117" t="s">
        <v>344</v>
      </c>
      <c r="B55" s="141">
        <v>0.47499999999999998</v>
      </c>
      <c r="C55" s="141">
        <v>0.42</v>
      </c>
      <c r="D55" s="141"/>
      <c r="E55" s="141"/>
      <c r="F55" s="141"/>
      <c r="G55" s="141"/>
      <c r="H55" s="141"/>
      <c r="I55" s="141">
        <v>0.53200000000000003</v>
      </c>
      <c r="J55" s="141">
        <v>0.46400000000000002</v>
      </c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</row>
    <row r="56" spans="1:47" x14ac:dyDescent="0.15">
      <c r="A56" s="118" t="s">
        <v>302</v>
      </c>
      <c r="B56" s="143">
        <v>0.60199999999999998</v>
      </c>
      <c r="C56" s="143">
        <v>0.29799999999999999</v>
      </c>
      <c r="D56" s="143">
        <v>0.16200000000000001</v>
      </c>
      <c r="E56" s="143"/>
      <c r="F56" s="143"/>
      <c r="G56" s="143"/>
      <c r="H56" s="143"/>
      <c r="I56" s="143">
        <v>0.66800000000000004</v>
      </c>
      <c r="J56" s="143">
        <v>0.33200000000000002</v>
      </c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</row>
  </sheetData>
  <mergeCells count="4">
    <mergeCell ref="A6:B6"/>
    <mergeCell ref="G6:H6"/>
    <mergeCell ref="I6:J6"/>
    <mergeCell ref="A54:B54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47"/>
  <sheetViews>
    <sheetView topLeftCell="A10" workbookViewId="0">
      <selection activeCell="C45" sqref="C45"/>
    </sheetView>
  </sheetViews>
  <sheetFormatPr baseColWidth="10" defaultColWidth="9.1640625" defaultRowHeight="13" x14ac:dyDescent="0.15"/>
  <cols>
    <col min="1" max="1" width="9.1640625" style="2"/>
    <col min="2" max="2" width="22.1640625" style="2" customWidth="1"/>
    <col min="3" max="9" width="9.1640625" style="2"/>
    <col min="10" max="10" width="10.1640625" style="2" bestFit="1" customWidth="1"/>
    <col min="11" max="16384" width="9.1640625" style="2"/>
  </cols>
  <sheetData>
    <row r="1" spans="1:10" x14ac:dyDescent="0.15">
      <c r="A1" s="8" t="s">
        <v>275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15">
      <c r="A2" s="10" t="s">
        <v>44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15"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51</v>
      </c>
      <c r="J3" s="2" t="s">
        <v>13</v>
      </c>
    </row>
    <row r="4" spans="1:10" x14ac:dyDescent="0.15">
      <c r="A4" s="5" t="s">
        <v>10</v>
      </c>
      <c r="B4" s="5" t="s">
        <v>52</v>
      </c>
      <c r="C4" s="5" t="s">
        <v>52</v>
      </c>
      <c r="D4" s="5" t="s">
        <v>53</v>
      </c>
      <c r="E4" s="5" t="s">
        <v>17</v>
      </c>
      <c r="F4" s="5" t="s">
        <v>52</v>
      </c>
      <c r="G4" s="5" t="s">
        <v>53</v>
      </c>
      <c r="H4" s="5" t="s">
        <v>52</v>
      </c>
      <c r="I4" s="5" t="s">
        <v>53</v>
      </c>
      <c r="J4" s="5" t="s">
        <v>54</v>
      </c>
    </row>
    <row r="5" spans="1:10" x14ac:dyDescent="0.15">
      <c r="A5" s="2">
        <v>1984</v>
      </c>
      <c r="B5" s="6">
        <v>526</v>
      </c>
      <c r="C5" s="6">
        <v>769</v>
      </c>
      <c r="D5" s="6">
        <v>69</v>
      </c>
      <c r="E5" s="6">
        <v>130</v>
      </c>
      <c r="F5" s="6">
        <v>102</v>
      </c>
      <c r="G5" s="6"/>
      <c r="H5" s="6">
        <v>640</v>
      </c>
      <c r="I5" s="6"/>
      <c r="J5" s="6">
        <v>2236</v>
      </c>
    </row>
    <row r="6" spans="1:10" x14ac:dyDescent="0.15">
      <c r="A6" s="2">
        <v>1985</v>
      </c>
      <c r="B6" s="6">
        <v>253</v>
      </c>
      <c r="C6" s="6">
        <v>282</v>
      </c>
      <c r="D6" s="6">
        <v>69</v>
      </c>
      <c r="E6" s="6">
        <v>67</v>
      </c>
      <c r="F6" s="6">
        <v>27</v>
      </c>
      <c r="G6" s="6"/>
      <c r="H6" s="6">
        <v>383</v>
      </c>
      <c r="I6" s="6"/>
      <c r="J6" s="6">
        <v>1081</v>
      </c>
    </row>
    <row r="7" spans="1:10" x14ac:dyDescent="0.15">
      <c r="A7" s="2">
        <v>1986</v>
      </c>
      <c r="B7" s="6">
        <v>139</v>
      </c>
      <c r="C7" s="6">
        <v>151</v>
      </c>
      <c r="D7" s="6">
        <v>6</v>
      </c>
      <c r="E7" s="6">
        <v>0</v>
      </c>
      <c r="F7" s="6">
        <v>0</v>
      </c>
      <c r="G7" s="6"/>
      <c r="H7" s="6">
        <v>270</v>
      </c>
      <c r="I7" s="6"/>
      <c r="J7" s="6">
        <v>566</v>
      </c>
    </row>
    <row r="8" spans="1:10" x14ac:dyDescent="0.15">
      <c r="A8" s="2">
        <v>1987</v>
      </c>
      <c r="B8" s="6">
        <v>6</v>
      </c>
      <c r="C8" s="6">
        <v>490</v>
      </c>
      <c r="D8" s="6">
        <v>62</v>
      </c>
      <c r="E8" s="6">
        <v>6</v>
      </c>
      <c r="F8" s="6">
        <v>30</v>
      </c>
      <c r="G8" s="6"/>
      <c r="H8" s="6">
        <v>103</v>
      </c>
      <c r="I8" s="6"/>
      <c r="J8" s="6">
        <v>697</v>
      </c>
    </row>
    <row r="9" spans="1:10" x14ac:dyDescent="0.15">
      <c r="A9" s="2">
        <v>1988</v>
      </c>
      <c r="B9" s="6">
        <v>14</v>
      </c>
      <c r="C9" s="6">
        <v>219</v>
      </c>
      <c r="D9" s="6">
        <v>22</v>
      </c>
      <c r="E9" s="6">
        <v>7</v>
      </c>
      <c r="F9" s="6">
        <v>0</v>
      </c>
      <c r="G9" s="6"/>
      <c r="H9" s="6">
        <v>114</v>
      </c>
      <c r="I9" s="6"/>
      <c r="J9" s="6">
        <v>376</v>
      </c>
    </row>
    <row r="10" spans="1:10" x14ac:dyDescent="0.15">
      <c r="A10" s="2">
        <v>1989</v>
      </c>
      <c r="B10" s="6">
        <v>29</v>
      </c>
      <c r="C10" s="6">
        <v>269</v>
      </c>
      <c r="D10" s="6">
        <v>133</v>
      </c>
      <c r="E10" s="6">
        <v>10</v>
      </c>
      <c r="F10" s="6">
        <v>60</v>
      </c>
      <c r="G10" s="6">
        <v>60</v>
      </c>
      <c r="H10" s="6">
        <v>180</v>
      </c>
      <c r="I10" s="6">
        <v>68</v>
      </c>
      <c r="J10" s="6">
        <v>809</v>
      </c>
    </row>
    <row r="11" spans="1:10" x14ac:dyDescent="0.15">
      <c r="A11" s="2">
        <v>1990</v>
      </c>
      <c r="B11" s="6">
        <v>24</v>
      </c>
      <c r="C11" s="6">
        <v>301</v>
      </c>
      <c r="D11" s="6">
        <v>31</v>
      </c>
      <c r="E11" s="6">
        <v>4</v>
      </c>
      <c r="F11" s="6">
        <v>0</v>
      </c>
      <c r="G11" s="6">
        <v>0</v>
      </c>
      <c r="H11" s="6">
        <v>301</v>
      </c>
      <c r="I11" s="6">
        <v>82</v>
      </c>
      <c r="J11" s="6">
        <v>743</v>
      </c>
    </row>
    <row r="12" spans="1:10" x14ac:dyDescent="0.15">
      <c r="A12" s="2">
        <v>1991</v>
      </c>
      <c r="B12" s="6">
        <v>0</v>
      </c>
      <c r="C12" s="6">
        <v>100</v>
      </c>
      <c r="D12" s="6">
        <v>61</v>
      </c>
      <c r="E12" s="6"/>
      <c r="F12" s="6">
        <v>7</v>
      </c>
      <c r="G12" s="6">
        <v>32</v>
      </c>
      <c r="H12" s="6">
        <v>179</v>
      </c>
      <c r="I12" s="6">
        <v>8</v>
      </c>
      <c r="J12" s="6">
        <v>387</v>
      </c>
    </row>
    <row r="13" spans="1:10" x14ac:dyDescent="0.15">
      <c r="A13" s="2">
        <v>1992</v>
      </c>
      <c r="B13" s="6">
        <v>164</v>
      </c>
      <c r="C13" s="6">
        <v>1242</v>
      </c>
      <c r="D13" s="6">
        <v>90</v>
      </c>
      <c r="E13" s="6">
        <v>50</v>
      </c>
      <c r="F13" s="6">
        <v>17</v>
      </c>
      <c r="G13" s="6">
        <v>138</v>
      </c>
      <c r="H13" s="6">
        <v>163</v>
      </c>
      <c r="I13" s="6">
        <v>22</v>
      </c>
      <c r="J13" s="6">
        <v>1886</v>
      </c>
    </row>
    <row r="14" spans="1:10" x14ac:dyDescent="0.15">
      <c r="A14" s="2">
        <v>1993</v>
      </c>
      <c r="B14" s="6">
        <v>57</v>
      </c>
      <c r="C14" s="6">
        <v>321</v>
      </c>
      <c r="D14" s="6">
        <v>141</v>
      </c>
      <c r="E14" s="6">
        <v>28</v>
      </c>
      <c r="F14" s="6">
        <v>2</v>
      </c>
      <c r="G14" s="6">
        <v>79</v>
      </c>
      <c r="H14" s="6">
        <v>107</v>
      </c>
      <c r="I14" s="6">
        <v>142</v>
      </c>
      <c r="J14" s="6">
        <v>877</v>
      </c>
    </row>
    <row r="15" spans="1:10" x14ac:dyDescent="0.15">
      <c r="A15" s="2">
        <v>1994</v>
      </c>
      <c r="B15" s="6">
        <v>267</v>
      </c>
      <c r="C15" s="6">
        <v>292</v>
      </c>
      <c r="D15" s="6">
        <v>66</v>
      </c>
      <c r="E15" s="6"/>
      <c r="F15" s="6"/>
      <c r="G15" s="6">
        <v>62</v>
      </c>
      <c r="H15" s="6">
        <v>147</v>
      </c>
      <c r="I15" s="6">
        <v>114</v>
      </c>
      <c r="J15" s="6">
        <v>948</v>
      </c>
    </row>
    <row r="16" spans="1:10" x14ac:dyDescent="0.15">
      <c r="A16" s="2">
        <v>1995</v>
      </c>
      <c r="B16" s="6">
        <v>13</v>
      </c>
      <c r="C16" s="6">
        <v>260</v>
      </c>
      <c r="D16" s="6">
        <v>11</v>
      </c>
      <c r="E16" s="6"/>
      <c r="F16" s="6"/>
      <c r="G16" s="6">
        <v>72</v>
      </c>
      <c r="H16" s="6">
        <v>47</v>
      </c>
      <c r="I16" s="6">
        <v>31</v>
      </c>
      <c r="J16" s="6">
        <v>434</v>
      </c>
    </row>
    <row r="17" spans="1:10" x14ac:dyDescent="0.15">
      <c r="A17" s="2">
        <v>1996</v>
      </c>
      <c r="B17" s="6">
        <v>134</v>
      </c>
      <c r="C17" s="6">
        <v>351</v>
      </c>
      <c r="D17" s="6">
        <v>149</v>
      </c>
      <c r="E17" s="6"/>
      <c r="F17" s="6"/>
      <c r="G17" s="6">
        <v>27</v>
      </c>
      <c r="H17" s="6">
        <v>54</v>
      </c>
      <c r="I17" s="6">
        <v>338</v>
      </c>
      <c r="J17" s="6">
        <v>1053</v>
      </c>
    </row>
    <row r="18" spans="1:10" x14ac:dyDescent="0.15">
      <c r="A18" s="2">
        <v>1997</v>
      </c>
      <c r="B18" s="6">
        <v>204</v>
      </c>
      <c r="C18" s="6">
        <v>271</v>
      </c>
      <c r="D18" s="6">
        <v>25</v>
      </c>
      <c r="E18" s="6"/>
      <c r="F18" s="6"/>
      <c r="G18" s="6">
        <v>12</v>
      </c>
      <c r="H18" s="6">
        <v>116</v>
      </c>
      <c r="I18" s="6">
        <v>32</v>
      </c>
      <c r="J18" s="6">
        <v>660</v>
      </c>
    </row>
    <row r="19" spans="1:10" x14ac:dyDescent="0.15">
      <c r="A19" s="2">
        <v>1998</v>
      </c>
      <c r="B19" s="6">
        <v>230</v>
      </c>
      <c r="C19" s="6">
        <v>246</v>
      </c>
      <c r="D19" s="6">
        <v>89</v>
      </c>
      <c r="E19" s="6"/>
      <c r="F19" s="6"/>
      <c r="G19" s="6">
        <v>9</v>
      </c>
      <c r="H19" s="6">
        <v>183</v>
      </c>
      <c r="I19" s="6">
        <v>135</v>
      </c>
      <c r="J19" s="6">
        <v>892</v>
      </c>
    </row>
    <row r="20" spans="1:10" x14ac:dyDescent="0.15">
      <c r="A20" s="2">
        <v>1999</v>
      </c>
      <c r="B20" s="6">
        <v>56</v>
      </c>
      <c r="C20" s="6">
        <v>301</v>
      </c>
      <c r="D20" s="6">
        <v>64</v>
      </c>
      <c r="E20" s="6"/>
      <c r="F20" s="6"/>
      <c r="G20" s="6">
        <v>54</v>
      </c>
      <c r="H20" s="6">
        <v>98</v>
      </c>
      <c r="I20" s="6">
        <v>78</v>
      </c>
      <c r="J20" s="6">
        <v>651</v>
      </c>
    </row>
    <row r="21" spans="1:10" x14ac:dyDescent="0.15">
      <c r="A21" s="2">
        <v>2000</v>
      </c>
      <c r="B21" s="6">
        <v>47</v>
      </c>
      <c r="C21" s="6">
        <v>86</v>
      </c>
      <c r="D21" s="6">
        <v>86</v>
      </c>
      <c r="E21" s="6"/>
      <c r="F21" s="6"/>
      <c r="G21" s="6">
        <v>32</v>
      </c>
      <c r="H21" s="6">
        <v>0</v>
      </c>
      <c r="I21" s="6">
        <v>90</v>
      </c>
      <c r="J21" s="6">
        <v>341</v>
      </c>
    </row>
    <row r="22" spans="1:10" x14ac:dyDescent="0.15">
      <c r="A22" s="2">
        <v>2001</v>
      </c>
      <c r="B22" s="6">
        <v>601</v>
      </c>
      <c r="C22" s="6">
        <v>2037</v>
      </c>
      <c r="D22" s="6">
        <v>268</v>
      </c>
      <c r="E22" s="6"/>
      <c r="F22" s="6"/>
      <c r="G22" s="6">
        <v>163</v>
      </c>
      <c r="H22" s="6">
        <v>217</v>
      </c>
      <c r="I22" s="6">
        <v>232</v>
      </c>
      <c r="J22" s="6">
        <v>3518</v>
      </c>
    </row>
    <row r="23" spans="1:10" x14ac:dyDescent="0.15">
      <c r="A23" s="2">
        <v>2002</v>
      </c>
      <c r="B23" s="6">
        <v>239</v>
      </c>
      <c r="C23" s="6">
        <v>216</v>
      </c>
      <c r="D23" s="6">
        <v>95</v>
      </c>
      <c r="E23" s="6"/>
      <c r="F23" s="6"/>
      <c r="G23" s="6">
        <v>13</v>
      </c>
      <c r="H23" s="6">
        <v>353</v>
      </c>
      <c r="I23" s="6">
        <v>0</v>
      </c>
      <c r="J23" s="6">
        <v>916</v>
      </c>
    </row>
    <row r="24" spans="1:10" x14ac:dyDescent="0.15">
      <c r="A24" s="2">
        <v>2003</v>
      </c>
      <c r="B24" s="6">
        <v>240</v>
      </c>
      <c r="C24" s="6">
        <v>71</v>
      </c>
      <c r="D24" s="6">
        <v>239</v>
      </c>
      <c r="E24" s="6"/>
      <c r="F24" s="6"/>
      <c r="G24" s="6">
        <v>0</v>
      </c>
      <c r="H24" s="6">
        <v>54</v>
      </c>
      <c r="I24" s="6">
        <v>0</v>
      </c>
      <c r="J24" s="6">
        <v>604</v>
      </c>
    </row>
    <row r="25" spans="1:10" x14ac:dyDescent="0.15">
      <c r="A25" s="2">
        <v>2004</v>
      </c>
      <c r="B25" s="6">
        <v>245</v>
      </c>
      <c r="C25" s="6">
        <v>262</v>
      </c>
      <c r="D25" s="6">
        <v>56</v>
      </c>
      <c r="E25" s="6"/>
      <c r="F25" s="6"/>
      <c r="G25" s="6">
        <v>0</v>
      </c>
      <c r="H25" s="6">
        <v>85</v>
      </c>
      <c r="I25" s="6">
        <v>0</v>
      </c>
      <c r="J25" s="6">
        <v>648</v>
      </c>
    </row>
    <row r="26" spans="1:10" x14ac:dyDescent="0.15">
      <c r="A26" s="2">
        <v>2005</v>
      </c>
      <c r="B26" s="6">
        <v>66</v>
      </c>
      <c r="C26" s="6">
        <v>124</v>
      </c>
      <c r="D26" s="6">
        <v>111</v>
      </c>
      <c r="E26" s="6"/>
      <c r="F26" s="6"/>
      <c r="G26" s="6">
        <v>23</v>
      </c>
      <c r="H26" s="6">
        <v>158</v>
      </c>
      <c r="I26" s="6">
        <v>76</v>
      </c>
      <c r="J26" s="6">
        <v>558</v>
      </c>
    </row>
    <row r="27" spans="1:10" x14ac:dyDescent="0.15">
      <c r="A27" s="2">
        <v>2006</v>
      </c>
      <c r="B27" s="6">
        <v>276</v>
      </c>
      <c r="C27" s="6">
        <v>288</v>
      </c>
      <c r="D27" s="6">
        <v>59</v>
      </c>
      <c r="E27" s="6"/>
      <c r="F27" s="6"/>
      <c r="G27" s="6">
        <v>0</v>
      </c>
      <c r="H27" s="6">
        <v>140</v>
      </c>
      <c r="I27" s="6">
        <v>180</v>
      </c>
      <c r="J27" s="6">
        <v>943</v>
      </c>
    </row>
    <row r="28" spans="1:10" x14ac:dyDescent="0.15">
      <c r="A28" s="2">
        <v>2007</v>
      </c>
      <c r="B28" s="6">
        <v>0</v>
      </c>
      <c r="C28" s="6">
        <v>17</v>
      </c>
      <c r="D28" s="6">
        <v>34</v>
      </c>
      <c r="E28" s="6">
        <v>0</v>
      </c>
      <c r="F28" s="6"/>
      <c r="G28" s="6">
        <v>3</v>
      </c>
      <c r="H28" s="6">
        <v>45</v>
      </c>
      <c r="I28" s="6">
        <v>21</v>
      </c>
      <c r="J28" s="6">
        <v>120</v>
      </c>
    </row>
    <row r="29" spans="1:10" x14ac:dyDescent="0.15">
      <c r="A29" s="2">
        <v>2008</v>
      </c>
      <c r="B29" s="6">
        <v>83</v>
      </c>
      <c r="C29" s="6">
        <v>41</v>
      </c>
      <c r="D29" s="6">
        <v>33</v>
      </c>
      <c r="E29" s="6">
        <v>0</v>
      </c>
      <c r="F29" s="6"/>
      <c r="G29" s="6">
        <v>0</v>
      </c>
      <c r="H29" s="6">
        <v>15</v>
      </c>
      <c r="I29" s="6">
        <v>231</v>
      </c>
      <c r="J29" s="6">
        <v>403</v>
      </c>
    </row>
    <row r="30" spans="1:10" x14ac:dyDescent="0.15">
      <c r="A30" s="2">
        <v>2009</v>
      </c>
      <c r="B30" s="6">
        <v>51</v>
      </c>
      <c r="C30" s="6">
        <v>45</v>
      </c>
      <c r="D30" s="6">
        <v>0</v>
      </c>
      <c r="E30" s="6"/>
      <c r="F30" s="6"/>
      <c r="G30" s="6">
        <v>0</v>
      </c>
      <c r="H30" s="6">
        <v>17</v>
      </c>
      <c r="I30" s="6">
        <v>0</v>
      </c>
      <c r="J30" s="6">
        <v>113</v>
      </c>
    </row>
    <row r="31" spans="1:10" x14ac:dyDescent="0.15">
      <c r="A31" s="2">
        <v>2010</v>
      </c>
      <c r="B31" s="6">
        <v>103</v>
      </c>
      <c r="C31" s="6">
        <v>300</v>
      </c>
      <c r="D31" s="6">
        <v>187</v>
      </c>
      <c r="E31" s="6">
        <v>0</v>
      </c>
      <c r="F31" s="6"/>
      <c r="G31" s="6">
        <v>0</v>
      </c>
      <c r="H31" s="6">
        <v>310</v>
      </c>
      <c r="I31" s="6">
        <v>217</v>
      </c>
      <c r="J31" s="6">
        <v>1117</v>
      </c>
    </row>
    <row r="32" spans="1:10" x14ac:dyDescent="0.15">
      <c r="A32" s="2">
        <v>2011</v>
      </c>
      <c r="B32" s="6"/>
      <c r="C32" s="6"/>
      <c r="D32" s="6"/>
      <c r="E32" s="11" t="s">
        <v>55</v>
      </c>
      <c r="F32" s="11"/>
      <c r="G32" s="11"/>
      <c r="H32" s="11"/>
      <c r="I32" s="11"/>
      <c r="J32" s="11"/>
    </row>
    <row r="33" spans="1:48" x14ac:dyDescent="0.15">
      <c r="A33" s="2">
        <v>2012</v>
      </c>
      <c r="B33" s="6">
        <v>0</v>
      </c>
      <c r="C33" s="6">
        <v>0</v>
      </c>
      <c r="D33" s="6">
        <v>15</v>
      </c>
      <c r="E33" s="6"/>
      <c r="F33" s="6"/>
      <c r="G33" s="6" t="s">
        <v>56</v>
      </c>
      <c r="H33" s="6" t="s">
        <v>56</v>
      </c>
      <c r="I33" s="6" t="s">
        <v>56</v>
      </c>
      <c r="J33" s="6">
        <v>15</v>
      </c>
    </row>
    <row r="34" spans="1:48" x14ac:dyDescent="0.15">
      <c r="A34" s="2">
        <v>2013</v>
      </c>
      <c r="B34" s="6">
        <v>2</v>
      </c>
      <c r="C34" s="6">
        <v>22</v>
      </c>
      <c r="D34" s="6">
        <v>151</v>
      </c>
      <c r="E34" s="6"/>
      <c r="F34" s="6"/>
      <c r="G34" s="6">
        <v>6</v>
      </c>
      <c r="H34" s="6">
        <v>16</v>
      </c>
      <c r="I34" s="6">
        <v>94</v>
      </c>
      <c r="J34" s="6">
        <v>291</v>
      </c>
    </row>
    <row r="35" spans="1:48" x14ac:dyDescent="0.15">
      <c r="A35" s="2">
        <v>2014</v>
      </c>
      <c r="B35" s="6">
        <v>52</v>
      </c>
      <c r="C35" s="6">
        <v>332</v>
      </c>
      <c r="D35" s="6">
        <v>22</v>
      </c>
      <c r="E35" s="6"/>
      <c r="F35" s="6"/>
      <c r="G35" s="6">
        <v>0</v>
      </c>
      <c r="H35" s="6">
        <v>172</v>
      </c>
      <c r="I35" s="6">
        <v>67</v>
      </c>
      <c r="J35" s="6">
        <v>645</v>
      </c>
    </row>
    <row r="36" spans="1:48" x14ac:dyDescent="0.15">
      <c r="A36" s="2">
        <v>2015</v>
      </c>
      <c r="B36" s="201" t="s">
        <v>57</v>
      </c>
      <c r="C36" s="201"/>
      <c r="D36" s="201"/>
      <c r="E36" s="201"/>
      <c r="F36" s="201"/>
      <c r="G36" s="201"/>
      <c r="H36" s="201"/>
      <c r="I36" s="201"/>
      <c r="J36" s="201"/>
    </row>
    <row r="37" spans="1:48" x14ac:dyDescent="0.15">
      <c r="A37" s="2">
        <v>2016</v>
      </c>
      <c r="B37" s="6">
        <v>2</v>
      </c>
      <c r="C37" s="6">
        <v>16</v>
      </c>
      <c r="D37" s="6">
        <v>6</v>
      </c>
      <c r="E37" s="6"/>
      <c r="F37" s="6"/>
      <c r="G37" s="6">
        <v>0</v>
      </c>
      <c r="H37" s="6">
        <v>46</v>
      </c>
      <c r="I37" s="6">
        <v>6</v>
      </c>
      <c r="J37" s="6">
        <v>76</v>
      </c>
    </row>
    <row r="38" spans="1:48" x14ac:dyDescent="0.15">
      <c r="A38" s="2">
        <v>2017</v>
      </c>
      <c r="B38" s="6">
        <v>141</v>
      </c>
      <c r="C38" s="6">
        <v>5</v>
      </c>
      <c r="D38" s="6">
        <v>13</v>
      </c>
      <c r="E38" s="6"/>
      <c r="F38" s="6"/>
      <c r="G38" s="6">
        <v>0</v>
      </c>
      <c r="H38" s="6">
        <v>57</v>
      </c>
      <c r="I38" s="6">
        <v>17</v>
      </c>
      <c r="J38" s="6">
        <v>233</v>
      </c>
    </row>
    <row r="39" spans="1:48" x14ac:dyDescent="0.15">
      <c r="A39" s="2">
        <v>2018</v>
      </c>
      <c r="B39" s="6">
        <v>19</v>
      </c>
      <c r="C39" s="6">
        <v>9</v>
      </c>
      <c r="D39" s="6">
        <v>4</v>
      </c>
      <c r="E39" s="6"/>
      <c r="F39" s="6"/>
      <c r="G39" s="6" t="s">
        <v>58</v>
      </c>
      <c r="H39" s="6">
        <v>49</v>
      </c>
      <c r="I39" s="6">
        <v>38</v>
      </c>
      <c r="J39" s="6">
        <v>119</v>
      </c>
    </row>
    <row r="40" spans="1:48" x14ac:dyDescent="0.15">
      <c r="A40" s="2">
        <v>2019</v>
      </c>
      <c r="B40" s="6">
        <v>86</v>
      </c>
      <c r="C40" s="6">
        <v>232</v>
      </c>
      <c r="D40" s="6">
        <v>0</v>
      </c>
      <c r="E40" s="6"/>
      <c r="F40" s="6"/>
      <c r="G40" s="6" t="s">
        <v>58</v>
      </c>
      <c r="H40" s="6">
        <v>113</v>
      </c>
      <c r="I40" s="6">
        <v>62</v>
      </c>
      <c r="J40" s="6">
        <v>493</v>
      </c>
    </row>
    <row r="41" spans="1:48" x14ac:dyDescent="0.15">
      <c r="A41" s="2">
        <v>2020</v>
      </c>
      <c r="B41" s="6">
        <v>29</v>
      </c>
      <c r="C41" s="6">
        <v>69</v>
      </c>
      <c r="D41" s="6">
        <v>18</v>
      </c>
      <c r="E41" s="6"/>
      <c r="F41" s="6"/>
      <c r="G41" s="6" t="s">
        <v>58</v>
      </c>
      <c r="H41" s="6">
        <v>53</v>
      </c>
      <c r="I41" s="6">
        <v>19</v>
      </c>
      <c r="J41" s="6">
        <v>188</v>
      </c>
    </row>
    <row r="42" spans="1:48" x14ac:dyDescent="0.15">
      <c r="A42" s="2">
        <v>2021</v>
      </c>
      <c r="B42" s="6">
        <v>47</v>
      </c>
      <c r="C42" s="6">
        <v>0</v>
      </c>
      <c r="D42" s="6">
        <v>145</v>
      </c>
      <c r="E42" s="6"/>
      <c r="F42" s="6"/>
      <c r="G42" s="6" t="s">
        <v>58</v>
      </c>
      <c r="H42" s="6">
        <v>24</v>
      </c>
      <c r="I42" s="6">
        <v>77</v>
      </c>
      <c r="J42" s="6">
        <v>293</v>
      </c>
    </row>
    <row r="43" spans="1:48" x14ac:dyDescent="0.15">
      <c r="A43" s="2">
        <v>2022</v>
      </c>
      <c r="B43" s="6">
        <v>276</v>
      </c>
      <c r="C43" s="6">
        <v>381</v>
      </c>
      <c r="D43" s="6">
        <v>0</v>
      </c>
      <c r="E43" s="6"/>
      <c r="F43" s="6"/>
      <c r="G43" s="6" t="s">
        <v>58</v>
      </c>
      <c r="H43" s="6">
        <v>79</v>
      </c>
      <c r="I43" s="6">
        <v>70</v>
      </c>
      <c r="J43" s="6">
        <v>806</v>
      </c>
    </row>
    <row r="44" spans="1:48" x14ac:dyDescent="0.15">
      <c r="A44" s="110">
        <v>2024</v>
      </c>
      <c r="B44" s="111">
        <v>261</v>
      </c>
      <c r="C44" s="111">
        <v>124</v>
      </c>
      <c r="D44" s="111">
        <v>39</v>
      </c>
      <c r="E44" s="111"/>
      <c r="F44" s="111"/>
      <c r="G44" s="111"/>
      <c r="H44" s="111">
        <v>94</v>
      </c>
      <c r="I44" s="111">
        <v>107</v>
      </c>
      <c r="J44" s="111">
        <v>625</v>
      </c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</row>
    <row r="45" spans="1:48" x14ac:dyDescent="0.15">
      <c r="A45" s="198" t="s">
        <v>24</v>
      </c>
      <c r="B45" s="198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</row>
    <row r="46" spans="1:48" x14ac:dyDescent="0.15">
      <c r="A46" s="116" t="s">
        <v>309</v>
      </c>
      <c r="B46" s="126">
        <v>127</v>
      </c>
      <c r="C46" s="126">
        <v>284</v>
      </c>
      <c r="D46" s="126">
        <v>71</v>
      </c>
      <c r="E46" s="126"/>
      <c r="F46" s="126"/>
      <c r="G46" s="126"/>
      <c r="H46" s="126">
        <v>142</v>
      </c>
      <c r="I46" s="126">
        <v>81</v>
      </c>
      <c r="J46" s="126">
        <v>704</v>
      </c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</row>
    <row r="47" spans="1:48" x14ac:dyDescent="0.15">
      <c r="A47" s="110" t="s">
        <v>302</v>
      </c>
      <c r="B47" s="111">
        <v>82</v>
      </c>
      <c r="C47" s="111">
        <v>156</v>
      </c>
      <c r="D47" s="111">
        <v>31</v>
      </c>
      <c r="E47" s="111"/>
      <c r="F47" s="111"/>
      <c r="G47" s="111"/>
      <c r="H47" s="111">
        <v>84</v>
      </c>
      <c r="I47" s="111">
        <v>43</v>
      </c>
      <c r="J47" s="111">
        <v>396</v>
      </c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</row>
  </sheetData>
  <mergeCells count="2">
    <mergeCell ref="B36:J36"/>
    <mergeCell ref="A45:B45"/>
  </mergeCells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06"/>
  <sheetViews>
    <sheetView topLeftCell="A49" workbookViewId="0">
      <selection activeCell="F103" sqref="F103"/>
    </sheetView>
  </sheetViews>
  <sheetFormatPr baseColWidth="10" defaultColWidth="9.1640625" defaultRowHeight="13" x14ac:dyDescent="0.15"/>
  <cols>
    <col min="1" max="1" width="9.1640625" style="2"/>
    <col min="2" max="2" width="12" style="2" customWidth="1"/>
    <col min="3" max="3" width="14.6640625" style="2" customWidth="1"/>
    <col min="4" max="4" width="10.1640625" style="2" customWidth="1"/>
    <col min="5" max="6" width="9.1640625" style="2"/>
    <col min="7" max="7" width="14.5" style="2" customWidth="1"/>
    <col min="8" max="8" width="9.1640625" style="2"/>
    <col min="9" max="9" width="10.33203125" style="2" customWidth="1"/>
    <col min="10" max="11" width="9.1640625" style="2"/>
    <col min="12" max="12" width="12.6640625" style="2" customWidth="1"/>
    <col min="13" max="13" width="9.1640625" style="2"/>
    <col min="14" max="14" width="11.1640625" style="2" customWidth="1"/>
    <col min="15" max="16384" width="9.1640625" style="2"/>
  </cols>
  <sheetData>
    <row r="1" spans="1:48" x14ac:dyDescent="0.15">
      <c r="A1" s="202" t="s">
        <v>276</v>
      </c>
      <c r="B1" s="202"/>
      <c r="C1" s="111"/>
      <c r="D1" s="111"/>
      <c r="E1" s="111"/>
      <c r="F1" s="110"/>
      <c r="G1" s="111"/>
      <c r="H1" s="111"/>
      <c r="I1" s="111"/>
      <c r="J1" s="111"/>
      <c r="K1" s="111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</row>
    <row r="2" spans="1:48" x14ac:dyDescent="0.15">
      <c r="A2" s="203" t="s">
        <v>345</v>
      </c>
      <c r="B2" s="203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</row>
    <row r="3" spans="1:48" ht="16" x14ac:dyDescent="0.3">
      <c r="A3" s="116"/>
      <c r="B3" s="199" t="s">
        <v>36</v>
      </c>
      <c r="C3" s="199"/>
      <c r="D3" s="199"/>
      <c r="E3" s="199"/>
      <c r="F3" s="199"/>
      <c r="G3" s="199" t="s">
        <v>346</v>
      </c>
      <c r="H3" s="199"/>
      <c r="I3" s="199"/>
      <c r="J3" s="199"/>
      <c r="K3" s="199"/>
      <c r="L3" s="199" t="s">
        <v>347</v>
      </c>
      <c r="M3" s="199"/>
      <c r="N3" s="199"/>
      <c r="O3" s="199"/>
      <c r="P3" s="199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</row>
    <row r="4" spans="1:48" x14ac:dyDescent="0.15">
      <c r="A4" s="116"/>
      <c r="B4" s="126" t="s">
        <v>59</v>
      </c>
      <c r="C4" s="126" t="s">
        <v>3</v>
      </c>
      <c r="D4" s="126" t="s">
        <v>60</v>
      </c>
      <c r="E4" s="126" t="s">
        <v>4</v>
      </c>
      <c r="F4" s="126" t="s">
        <v>5</v>
      </c>
      <c r="G4" s="126" t="s">
        <v>59</v>
      </c>
      <c r="H4" s="126" t="s">
        <v>3</v>
      </c>
      <c r="I4" s="126"/>
      <c r="J4" s="126" t="s">
        <v>4</v>
      </c>
      <c r="K4" s="126" t="s">
        <v>5</v>
      </c>
      <c r="L4" s="126" t="s">
        <v>59</v>
      </c>
      <c r="M4" s="126" t="s">
        <v>3</v>
      </c>
      <c r="N4" s="126" t="s">
        <v>60</v>
      </c>
      <c r="O4" s="126" t="s">
        <v>4</v>
      </c>
      <c r="P4" s="126" t="s">
        <v>61</v>
      </c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</row>
    <row r="5" spans="1:48" x14ac:dyDescent="0.15">
      <c r="A5" s="110" t="s">
        <v>10</v>
      </c>
      <c r="B5" s="111" t="s">
        <v>14</v>
      </c>
      <c r="C5" s="111" t="s">
        <v>62</v>
      </c>
      <c r="D5" s="111" t="s">
        <v>63</v>
      </c>
      <c r="E5" s="111" t="s">
        <v>64</v>
      </c>
      <c r="F5" s="111" t="s">
        <v>65</v>
      </c>
      <c r="G5" s="111" t="s">
        <v>14</v>
      </c>
      <c r="H5" s="111" t="s">
        <v>64</v>
      </c>
      <c r="I5" s="111" t="s">
        <v>13</v>
      </c>
      <c r="J5" s="111" t="s">
        <v>64</v>
      </c>
      <c r="K5" s="111" t="s">
        <v>65</v>
      </c>
      <c r="L5" s="111" t="s">
        <v>14</v>
      </c>
      <c r="M5" s="111" t="s">
        <v>64</v>
      </c>
      <c r="N5" s="111" t="s">
        <v>63</v>
      </c>
      <c r="O5" s="111" t="s">
        <v>64</v>
      </c>
      <c r="P5" s="111" t="s">
        <v>65</v>
      </c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</row>
    <row r="6" spans="1:48" x14ac:dyDescent="0.15">
      <c r="A6" s="117">
        <v>1979</v>
      </c>
      <c r="B6" s="139">
        <v>17472</v>
      </c>
      <c r="C6" s="139">
        <v>7261</v>
      </c>
      <c r="D6" s="139">
        <v>10211</v>
      </c>
      <c r="E6" s="140">
        <v>5076</v>
      </c>
      <c r="F6" s="139">
        <v>22548</v>
      </c>
      <c r="G6" s="139">
        <v>22880</v>
      </c>
      <c r="H6" s="139">
        <v>6273</v>
      </c>
      <c r="I6" s="139">
        <v>16608</v>
      </c>
      <c r="J6" s="140">
        <v>3223</v>
      </c>
      <c r="K6" s="139">
        <v>26103</v>
      </c>
      <c r="L6" s="139">
        <v>40353</v>
      </c>
      <c r="M6" s="139">
        <v>13534</v>
      </c>
      <c r="N6" s="139">
        <v>26819</v>
      </c>
      <c r="O6" s="139">
        <v>8299</v>
      </c>
      <c r="P6" s="139">
        <v>48652</v>
      </c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</row>
    <row r="7" spans="1:48" x14ac:dyDescent="0.15">
      <c r="A7" s="117">
        <v>1980</v>
      </c>
      <c r="B7" s="139">
        <v>19137</v>
      </c>
      <c r="C7" s="139">
        <v>8119</v>
      </c>
      <c r="D7" s="139">
        <v>11018</v>
      </c>
      <c r="E7" s="140">
        <v>11239</v>
      </c>
      <c r="F7" s="139">
        <v>30376</v>
      </c>
      <c r="G7" s="139">
        <v>43606</v>
      </c>
      <c r="H7" s="139">
        <v>12800</v>
      </c>
      <c r="I7" s="139">
        <v>30806</v>
      </c>
      <c r="J7" s="140">
        <v>11967</v>
      </c>
      <c r="K7" s="139">
        <v>55573</v>
      </c>
      <c r="L7" s="139">
        <v>62743</v>
      </c>
      <c r="M7" s="139">
        <v>20919</v>
      </c>
      <c r="N7" s="139">
        <v>41824</v>
      </c>
      <c r="O7" s="139">
        <v>23206</v>
      </c>
      <c r="P7" s="139">
        <v>85949</v>
      </c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</row>
    <row r="8" spans="1:48" x14ac:dyDescent="0.15">
      <c r="A8" s="117">
        <v>1981</v>
      </c>
      <c r="B8" s="139">
        <v>65968</v>
      </c>
      <c r="C8" s="139">
        <v>15178</v>
      </c>
      <c r="D8" s="139">
        <v>50790</v>
      </c>
      <c r="E8" s="140">
        <v>16189</v>
      </c>
      <c r="F8" s="139">
        <v>82157</v>
      </c>
      <c r="G8" s="139">
        <v>72911</v>
      </c>
      <c r="H8" s="139">
        <v>11839</v>
      </c>
      <c r="I8" s="139">
        <v>61072</v>
      </c>
      <c r="J8" s="140">
        <v>11349</v>
      </c>
      <c r="K8" s="139">
        <v>84260</v>
      </c>
      <c r="L8" s="139">
        <v>138879</v>
      </c>
      <c r="M8" s="139">
        <v>27017</v>
      </c>
      <c r="N8" s="139">
        <v>111862</v>
      </c>
      <c r="O8" s="139">
        <v>27538</v>
      </c>
      <c r="P8" s="139">
        <v>166417</v>
      </c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</row>
    <row r="9" spans="1:48" x14ac:dyDescent="0.15">
      <c r="A9" s="117">
        <v>1982</v>
      </c>
      <c r="B9" s="139">
        <v>42493</v>
      </c>
      <c r="C9" s="139">
        <v>14236</v>
      </c>
      <c r="D9" s="139">
        <v>28257</v>
      </c>
      <c r="E9" s="140">
        <v>20981</v>
      </c>
      <c r="F9" s="139">
        <v>63474</v>
      </c>
      <c r="G9" s="139">
        <v>26267</v>
      </c>
      <c r="H9" s="139">
        <v>6304</v>
      </c>
      <c r="I9" s="139">
        <v>19964</v>
      </c>
      <c r="J9" s="140">
        <v>21501</v>
      </c>
      <c r="K9" s="139">
        <v>47768</v>
      </c>
      <c r="L9" s="139">
        <v>68761</v>
      </c>
      <c r="M9" s="139">
        <v>20540</v>
      </c>
      <c r="N9" s="139">
        <v>48221</v>
      </c>
      <c r="O9" s="139">
        <v>42482</v>
      </c>
      <c r="P9" s="139">
        <v>111243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</row>
    <row r="10" spans="1:48" x14ac:dyDescent="0.15">
      <c r="A10" s="117">
        <v>1983</v>
      </c>
      <c r="B10" s="139">
        <v>32684</v>
      </c>
      <c r="C10" s="139">
        <v>11428</v>
      </c>
      <c r="D10" s="139">
        <v>21256</v>
      </c>
      <c r="E10" s="140">
        <v>5075</v>
      </c>
      <c r="F10" s="139">
        <v>37759</v>
      </c>
      <c r="G10" s="139">
        <v>38999</v>
      </c>
      <c r="H10" s="139">
        <v>9692</v>
      </c>
      <c r="I10" s="139">
        <v>29307</v>
      </c>
      <c r="J10" s="126">
        <v>699</v>
      </c>
      <c r="K10" s="139">
        <v>39698</v>
      </c>
      <c r="L10" s="139">
        <v>71683</v>
      </c>
      <c r="M10" s="139">
        <v>21120</v>
      </c>
      <c r="N10" s="139">
        <v>50563</v>
      </c>
      <c r="O10" s="139">
        <v>5774</v>
      </c>
      <c r="P10" s="139">
        <v>77457</v>
      </c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</row>
    <row r="11" spans="1:48" x14ac:dyDescent="0.15">
      <c r="A11" s="117">
        <v>1984</v>
      </c>
      <c r="B11" s="139">
        <v>37571</v>
      </c>
      <c r="C11" s="139">
        <v>4794</v>
      </c>
      <c r="D11" s="139">
        <v>32777</v>
      </c>
      <c r="E11" s="140">
        <v>3114</v>
      </c>
      <c r="F11" s="139">
        <v>40685</v>
      </c>
      <c r="G11" s="139">
        <v>38640</v>
      </c>
      <c r="H11" s="141">
        <v>533</v>
      </c>
      <c r="I11" s="139">
        <v>38107</v>
      </c>
      <c r="J11" s="140">
        <v>4636</v>
      </c>
      <c r="K11" s="139">
        <v>43276</v>
      </c>
      <c r="L11" s="139">
        <v>76211</v>
      </c>
      <c r="M11" s="139">
        <v>5327</v>
      </c>
      <c r="N11" s="139">
        <v>70884</v>
      </c>
      <c r="O11" s="139">
        <v>7750</v>
      </c>
      <c r="P11" s="139">
        <v>83961</v>
      </c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</row>
    <row r="12" spans="1:48" x14ac:dyDescent="0.15">
      <c r="A12" s="117">
        <v>1985</v>
      </c>
      <c r="B12" s="139">
        <v>86008</v>
      </c>
      <c r="C12" s="139">
        <v>18682</v>
      </c>
      <c r="D12" s="139">
        <v>67326</v>
      </c>
      <c r="E12" s="139">
        <v>25197</v>
      </c>
      <c r="F12" s="139">
        <v>111205</v>
      </c>
      <c r="G12" s="139">
        <v>98739</v>
      </c>
      <c r="H12" s="139">
        <v>8122</v>
      </c>
      <c r="I12" s="139">
        <v>90617</v>
      </c>
      <c r="J12" s="139">
        <v>4550</v>
      </c>
      <c r="K12" s="139">
        <v>103289</v>
      </c>
      <c r="L12" s="139">
        <v>184747</v>
      </c>
      <c r="M12" s="139">
        <v>26804</v>
      </c>
      <c r="N12" s="139">
        <v>157943</v>
      </c>
      <c r="O12" s="139">
        <v>29747</v>
      </c>
      <c r="P12" s="139">
        <v>214494</v>
      </c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</row>
    <row r="13" spans="1:48" x14ac:dyDescent="0.15">
      <c r="A13" s="117">
        <v>1986</v>
      </c>
      <c r="B13" s="139">
        <v>31015</v>
      </c>
      <c r="C13" s="139">
        <v>10735</v>
      </c>
      <c r="D13" s="139">
        <v>20280</v>
      </c>
      <c r="E13" s="139">
        <v>2757</v>
      </c>
      <c r="F13" s="139">
        <v>33771</v>
      </c>
      <c r="G13" s="139">
        <v>38022</v>
      </c>
      <c r="H13" s="139">
        <v>7111</v>
      </c>
      <c r="I13" s="139">
        <v>30910</v>
      </c>
      <c r="J13" s="139">
        <v>3663</v>
      </c>
      <c r="K13" s="139">
        <v>41685</v>
      </c>
      <c r="L13" s="139">
        <v>69036</v>
      </c>
      <c r="M13" s="139">
        <v>17846</v>
      </c>
      <c r="N13" s="139">
        <v>51190</v>
      </c>
      <c r="O13" s="139">
        <v>6420</v>
      </c>
      <c r="P13" s="139">
        <v>75456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</row>
    <row r="14" spans="1:48" x14ac:dyDescent="0.15">
      <c r="A14" s="117">
        <v>1987</v>
      </c>
      <c r="B14" s="139">
        <v>11923</v>
      </c>
      <c r="C14" s="139">
        <v>4965</v>
      </c>
      <c r="D14" s="139">
        <v>6958</v>
      </c>
      <c r="E14" s="139">
        <v>2255</v>
      </c>
      <c r="F14" s="139">
        <v>14178</v>
      </c>
      <c r="G14" s="139">
        <v>27342</v>
      </c>
      <c r="H14" s="139">
        <v>6318</v>
      </c>
      <c r="I14" s="139">
        <v>21023</v>
      </c>
      <c r="J14" s="139">
        <v>1822</v>
      </c>
      <c r="K14" s="139">
        <v>29164</v>
      </c>
      <c r="L14" s="139">
        <v>39264</v>
      </c>
      <c r="M14" s="139">
        <v>11283</v>
      </c>
      <c r="N14" s="139">
        <v>27981</v>
      </c>
      <c r="O14" s="139">
        <v>4077</v>
      </c>
      <c r="P14" s="139">
        <v>43342</v>
      </c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</row>
    <row r="15" spans="1:48" x14ac:dyDescent="0.15">
      <c r="A15" s="117">
        <v>1988</v>
      </c>
      <c r="B15" s="139">
        <v>7222</v>
      </c>
      <c r="C15" s="139">
        <v>4686</v>
      </c>
      <c r="D15" s="139">
        <v>2536</v>
      </c>
      <c r="E15" s="139">
        <v>2129</v>
      </c>
      <c r="F15" s="139">
        <v>9351</v>
      </c>
      <c r="G15" s="139">
        <v>34693</v>
      </c>
      <c r="H15" s="139">
        <v>11852</v>
      </c>
      <c r="I15" s="139">
        <v>22841</v>
      </c>
      <c r="J15" s="139">
        <v>1052</v>
      </c>
      <c r="K15" s="139">
        <v>35745</v>
      </c>
      <c r="L15" s="139">
        <v>41915</v>
      </c>
      <c r="M15" s="139">
        <v>16538</v>
      </c>
      <c r="N15" s="139">
        <v>25377</v>
      </c>
      <c r="O15" s="139">
        <v>3181</v>
      </c>
      <c r="P15" s="139">
        <v>45096</v>
      </c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</row>
    <row r="16" spans="1:48" x14ac:dyDescent="0.15">
      <c r="A16" s="117">
        <v>1989</v>
      </c>
      <c r="B16" s="139">
        <v>14111</v>
      </c>
      <c r="C16" s="139">
        <v>5795</v>
      </c>
      <c r="D16" s="139">
        <v>8316</v>
      </c>
      <c r="E16" s="139">
        <v>1561</v>
      </c>
      <c r="F16" s="139">
        <v>15672</v>
      </c>
      <c r="G16" s="139">
        <v>60947</v>
      </c>
      <c r="H16" s="139">
        <v>15844</v>
      </c>
      <c r="I16" s="139">
        <v>45103</v>
      </c>
      <c r="J16" s="139">
        <v>13931</v>
      </c>
      <c r="K16" s="139">
        <v>74878</v>
      </c>
      <c r="L16" s="139">
        <v>75058</v>
      </c>
      <c r="M16" s="139">
        <v>21639</v>
      </c>
      <c r="N16" s="139">
        <v>53419</v>
      </c>
      <c r="O16" s="139">
        <v>15492</v>
      </c>
      <c r="P16" s="139">
        <v>90550</v>
      </c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</row>
    <row r="17" spans="1:48" x14ac:dyDescent="0.15">
      <c r="A17" s="117">
        <v>1990</v>
      </c>
      <c r="B17" s="139">
        <v>23982</v>
      </c>
      <c r="C17" s="139">
        <v>9055</v>
      </c>
      <c r="D17" s="139">
        <v>14927</v>
      </c>
      <c r="E17" s="139">
        <v>2307</v>
      </c>
      <c r="F17" s="139">
        <v>26289</v>
      </c>
      <c r="G17" s="139">
        <v>33547</v>
      </c>
      <c r="H17" s="139">
        <v>10909</v>
      </c>
      <c r="I17" s="139">
        <v>22638</v>
      </c>
      <c r="J17" s="139">
        <v>7549</v>
      </c>
      <c r="K17" s="139">
        <v>41096</v>
      </c>
      <c r="L17" s="139">
        <v>57529</v>
      </c>
      <c r="M17" s="139">
        <v>19964</v>
      </c>
      <c r="N17" s="139">
        <v>37565</v>
      </c>
      <c r="O17" s="139">
        <v>9856</v>
      </c>
      <c r="P17" s="139">
        <v>67385</v>
      </c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</row>
    <row r="18" spans="1:48" x14ac:dyDescent="0.15">
      <c r="A18" s="117">
        <v>1991</v>
      </c>
      <c r="B18" s="139">
        <v>67394</v>
      </c>
      <c r="C18" s="139">
        <v>17259</v>
      </c>
      <c r="D18" s="139">
        <v>50135</v>
      </c>
      <c r="E18" s="139">
        <v>21916</v>
      </c>
      <c r="F18" s="139">
        <v>89311</v>
      </c>
      <c r="G18" s="139">
        <v>52759</v>
      </c>
      <c r="H18" s="139">
        <v>7879</v>
      </c>
      <c r="I18" s="139">
        <v>44880</v>
      </c>
      <c r="J18" s="139">
        <v>9368</v>
      </c>
      <c r="K18" s="139">
        <v>62126</v>
      </c>
      <c r="L18" s="139">
        <v>120153</v>
      </c>
      <c r="M18" s="139">
        <v>25138</v>
      </c>
      <c r="N18" s="139">
        <v>95015</v>
      </c>
      <c r="O18" s="139">
        <v>31284</v>
      </c>
      <c r="P18" s="139">
        <v>151437</v>
      </c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</row>
    <row r="19" spans="1:48" x14ac:dyDescent="0.15">
      <c r="A19" s="117">
        <v>1992</v>
      </c>
      <c r="B19" s="139">
        <v>76680</v>
      </c>
      <c r="C19" s="139">
        <v>16773</v>
      </c>
      <c r="D19" s="139">
        <v>59907</v>
      </c>
      <c r="E19" s="139">
        <v>28218</v>
      </c>
      <c r="F19" s="139">
        <v>104899</v>
      </c>
      <c r="G19" s="139">
        <v>77861</v>
      </c>
      <c r="H19" s="139">
        <v>12469</v>
      </c>
      <c r="I19" s="139">
        <v>65392</v>
      </c>
      <c r="J19" s="139">
        <v>49176</v>
      </c>
      <c r="K19" s="139">
        <v>127037</v>
      </c>
      <c r="L19" s="139">
        <v>154541</v>
      </c>
      <c r="M19" s="139">
        <v>29242</v>
      </c>
      <c r="N19" s="139">
        <v>125299</v>
      </c>
      <c r="O19" s="139">
        <v>77394</v>
      </c>
      <c r="P19" s="139">
        <v>231935</v>
      </c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</row>
    <row r="20" spans="1:48" x14ac:dyDescent="0.15">
      <c r="A20" s="117">
        <v>1993</v>
      </c>
      <c r="B20" s="139">
        <v>84068</v>
      </c>
      <c r="C20" s="139">
        <v>32458</v>
      </c>
      <c r="D20" s="139">
        <v>51610</v>
      </c>
      <c r="E20" s="139">
        <v>40036</v>
      </c>
      <c r="F20" s="139">
        <v>124104</v>
      </c>
      <c r="G20" s="139">
        <v>92033</v>
      </c>
      <c r="H20" s="139">
        <v>20240</v>
      </c>
      <c r="I20" s="139">
        <v>71792</v>
      </c>
      <c r="J20" s="139">
        <v>64594</v>
      </c>
      <c r="K20" s="139">
        <v>156627</v>
      </c>
      <c r="L20" s="139">
        <v>176100</v>
      </c>
      <c r="M20" s="139">
        <v>52698</v>
      </c>
      <c r="N20" s="139">
        <v>123402</v>
      </c>
      <c r="O20" s="139">
        <v>104630</v>
      </c>
      <c r="P20" s="139">
        <v>280730</v>
      </c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</row>
    <row r="21" spans="1:48" x14ac:dyDescent="0.15">
      <c r="A21" s="117">
        <v>1994</v>
      </c>
      <c r="B21" s="139">
        <v>77239</v>
      </c>
      <c r="C21" s="139">
        <v>37728</v>
      </c>
      <c r="D21" s="139">
        <v>39511</v>
      </c>
      <c r="E21" s="139">
        <v>65101</v>
      </c>
      <c r="F21" s="139">
        <v>142340</v>
      </c>
      <c r="G21" s="139">
        <v>50288</v>
      </c>
      <c r="H21" s="139">
        <v>15652</v>
      </c>
      <c r="I21" s="139">
        <v>34636</v>
      </c>
      <c r="J21" s="139">
        <v>15408</v>
      </c>
      <c r="K21" s="139">
        <v>65696</v>
      </c>
      <c r="L21" s="139">
        <v>127527</v>
      </c>
      <c r="M21" s="139">
        <v>53380</v>
      </c>
      <c r="N21" s="139">
        <v>74147</v>
      </c>
      <c r="O21" s="139">
        <v>80509</v>
      </c>
      <c r="P21" s="139">
        <v>208036</v>
      </c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</row>
    <row r="22" spans="1:48" x14ac:dyDescent="0.15">
      <c r="A22" s="117">
        <v>1995</v>
      </c>
      <c r="B22" s="139">
        <v>82290</v>
      </c>
      <c r="C22" s="139">
        <v>50713</v>
      </c>
      <c r="D22" s="139">
        <v>31577</v>
      </c>
      <c r="E22" s="139">
        <v>51665</v>
      </c>
      <c r="F22" s="139">
        <v>133955</v>
      </c>
      <c r="G22" s="139">
        <v>57802</v>
      </c>
      <c r="H22" s="139">
        <v>14953</v>
      </c>
      <c r="I22" s="139">
        <v>42850</v>
      </c>
      <c r="J22" s="139">
        <v>24169</v>
      </c>
      <c r="K22" s="139">
        <v>81971</v>
      </c>
      <c r="L22" s="139">
        <v>140092</v>
      </c>
      <c r="M22" s="139">
        <v>65665</v>
      </c>
      <c r="N22" s="139">
        <v>74427</v>
      </c>
      <c r="O22" s="139">
        <v>75834</v>
      </c>
      <c r="P22" s="139">
        <v>215926</v>
      </c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</row>
    <row r="23" spans="1:48" x14ac:dyDescent="0.15">
      <c r="A23" s="117">
        <v>1996</v>
      </c>
      <c r="B23" s="139">
        <v>95706</v>
      </c>
      <c r="C23" s="139">
        <v>57545</v>
      </c>
      <c r="D23" s="139">
        <v>38161</v>
      </c>
      <c r="E23" s="139">
        <v>147435</v>
      </c>
      <c r="F23" s="139">
        <v>243141</v>
      </c>
      <c r="G23" s="139">
        <v>69536</v>
      </c>
      <c r="H23" s="139">
        <v>23684</v>
      </c>
      <c r="I23" s="139">
        <v>45852</v>
      </c>
      <c r="J23" s="139">
        <v>21508</v>
      </c>
      <c r="K23" s="139">
        <v>91044</v>
      </c>
      <c r="L23" s="139">
        <v>165242</v>
      </c>
      <c r="M23" s="139">
        <v>81229</v>
      </c>
      <c r="N23" s="139">
        <v>84013</v>
      </c>
      <c r="O23" s="139">
        <v>168943</v>
      </c>
      <c r="P23" s="139">
        <v>334185</v>
      </c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</row>
    <row r="24" spans="1:48" x14ac:dyDescent="0.15">
      <c r="A24" s="117">
        <v>1997</v>
      </c>
      <c r="B24" s="139">
        <v>37319</v>
      </c>
      <c r="C24" s="139">
        <v>25214</v>
      </c>
      <c r="D24" s="139">
        <v>12105</v>
      </c>
      <c r="E24" s="139">
        <v>43408</v>
      </c>
      <c r="F24" s="139">
        <v>80727</v>
      </c>
      <c r="G24" s="139">
        <v>59600</v>
      </c>
      <c r="H24" s="139">
        <v>22164</v>
      </c>
      <c r="I24" s="139">
        <v>37436</v>
      </c>
      <c r="J24" s="139">
        <v>20330</v>
      </c>
      <c r="K24" s="139">
        <v>79930</v>
      </c>
      <c r="L24" s="139">
        <v>96919</v>
      </c>
      <c r="M24" s="139">
        <v>47378</v>
      </c>
      <c r="N24" s="139">
        <v>49541</v>
      </c>
      <c r="O24" s="139">
        <v>63738</v>
      </c>
      <c r="P24" s="139">
        <v>160657</v>
      </c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</row>
    <row r="25" spans="1:48" x14ac:dyDescent="0.15">
      <c r="A25" s="117">
        <v>1998</v>
      </c>
      <c r="B25" s="139">
        <v>27941</v>
      </c>
      <c r="C25" s="139">
        <v>15673</v>
      </c>
      <c r="D25" s="139">
        <v>12268</v>
      </c>
      <c r="E25" s="139">
        <v>7086</v>
      </c>
      <c r="F25" s="139">
        <v>35027</v>
      </c>
      <c r="G25" s="139">
        <v>31077</v>
      </c>
      <c r="H25" s="139">
        <v>11902</v>
      </c>
      <c r="I25" s="139">
        <v>19175</v>
      </c>
      <c r="J25" s="139">
        <v>7962</v>
      </c>
      <c r="K25" s="139">
        <v>39039</v>
      </c>
      <c r="L25" s="139">
        <v>59018</v>
      </c>
      <c r="M25" s="139">
        <v>27575</v>
      </c>
      <c r="N25" s="139">
        <v>31443</v>
      </c>
      <c r="O25" s="139">
        <v>15048</v>
      </c>
      <c r="P25" s="139">
        <v>74066</v>
      </c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</row>
    <row r="26" spans="1:48" x14ac:dyDescent="0.15">
      <c r="A26" s="117">
        <v>1999</v>
      </c>
      <c r="B26" s="139">
        <v>35918</v>
      </c>
      <c r="C26" s="139">
        <v>25599</v>
      </c>
      <c r="D26" s="139">
        <v>10319</v>
      </c>
      <c r="E26" s="139">
        <v>23449</v>
      </c>
      <c r="F26" s="139">
        <v>59367</v>
      </c>
      <c r="G26" s="139">
        <v>13797</v>
      </c>
      <c r="H26" s="139">
        <v>7726</v>
      </c>
      <c r="I26" s="139">
        <v>6071</v>
      </c>
      <c r="J26" s="139">
        <v>20092</v>
      </c>
      <c r="K26" s="139">
        <v>33889</v>
      </c>
      <c r="L26" s="139">
        <v>49715</v>
      </c>
      <c r="M26" s="139">
        <v>33325</v>
      </c>
      <c r="N26" s="139">
        <v>16390</v>
      </c>
      <c r="O26" s="139">
        <v>43541</v>
      </c>
      <c r="P26" s="139">
        <v>93256</v>
      </c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</row>
    <row r="27" spans="1:48" x14ac:dyDescent="0.15">
      <c r="A27" s="117">
        <v>2000</v>
      </c>
      <c r="B27" s="139">
        <v>13803</v>
      </c>
      <c r="C27" s="139">
        <v>8133</v>
      </c>
      <c r="D27" s="139">
        <v>5670</v>
      </c>
      <c r="E27" s="139">
        <v>5340</v>
      </c>
      <c r="F27" s="139">
        <v>19143</v>
      </c>
      <c r="G27" s="139">
        <v>18563</v>
      </c>
      <c r="H27" s="139">
        <v>8431</v>
      </c>
      <c r="I27" s="139">
        <v>10132</v>
      </c>
      <c r="J27" s="139">
        <v>6764</v>
      </c>
      <c r="K27" s="139">
        <v>25327</v>
      </c>
      <c r="L27" s="139">
        <v>32366</v>
      </c>
      <c r="M27" s="139">
        <v>16564</v>
      </c>
      <c r="N27" s="139">
        <v>15802</v>
      </c>
      <c r="O27" s="139">
        <v>12104</v>
      </c>
      <c r="P27" s="139">
        <v>44470</v>
      </c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</row>
    <row r="28" spans="1:48" x14ac:dyDescent="0.15">
      <c r="A28" s="117">
        <v>2001</v>
      </c>
      <c r="B28" s="139">
        <v>20985</v>
      </c>
      <c r="C28" s="139">
        <v>6224</v>
      </c>
      <c r="D28" s="139">
        <v>14761</v>
      </c>
      <c r="E28" s="139">
        <v>6339</v>
      </c>
      <c r="F28" s="139">
        <v>27324</v>
      </c>
      <c r="G28" s="139">
        <v>54987</v>
      </c>
      <c r="H28" s="139">
        <v>14132</v>
      </c>
      <c r="I28" s="139">
        <v>40855</v>
      </c>
      <c r="J28" s="139">
        <v>4193</v>
      </c>
      <c r="K28" s="139">
        <v>59180</v>
      </c>
      <c r="L28" s="139">
        <v>75972</v>
      </c>
      <c r="M28" s="139">
        <v>20356</v>
      </c>
      <c r="N28" s="139">
        <v>55616</v>
      </c>
      <c r="O28" s="139">
        <v>10532</v>
      </c>
      <c r="P28" s="139">
        <v>86504</v>
      </c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</row>
    <row r="29" spans="1:48" x14ac:dyDescent="0.15">
      <c r="A29" s="117">
        <v>2002</v>
      </c>
      <c r="B29" s="139">
        <v>25680</v>
      </c>
      <c r="C29" s="139">
        <v>8340</v>
      </c>
      <c r="D29" s="139">
        <v>17340</v>
      </c>
      <c r="E29" s="139">
        <v>2055</v>
      </c>
      <c r="F29" s="139">
        <v>27735</v>
      </c>
      <c r="G29" s="139">
        <v>35496</v>
      </c>
      <c r="H29" s="139">
        <v>8342</v>
      </c>
      <c r="I29" s="139">
        <v>27154</v>
      </c>
      <c r="J29" s="139">
        <v>1963</v>
      </c>
      <c r="K29" s="139">
        <v>37459</v>
      </c>
      <c r="L29" s="139">
        <v>61176</v>
      </c>
      <c r="M29" s="139">
        <v>16682</v>
      </c>
      <c r="N29" s="139">
        <v>44494</v>
      </c>
      <c r="O29" s="139">
        <v>4018</v>
      </c>
      <c r="P29" s="139">
        <v>65194</v>
      </c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</row>
    <row r="30" spans="1:48" x14ac:dyDescent="0.15">
      <c r="A30" s="117">
        <v>2003</v>
      </c>
      <c r="B30" s="139">
        <v>81808</v>
      </c>
      <c r="C30" s="139">
        <v>28275</v>
      </c>
      <c r="D30" s="139">
        <v>53533</v>
      </c>
      <c r="E30" s="139">
        <v>16298</v>
      </c>
      <c r="F30" s="139">
        <v>98106</v>
      </c>
      <c r="G30" s="139">
        <v>81803</v>
      </c>
      <c r="H30" s="139">
        <v>23831</v>
      </c>
      <c r="I30" s="139">
        <v>57972</v>
      </c>
      <c r="J30" s="139">
        <v>21494</v>
      </c>
      <c r="K30" s="139">
        <v>103297</v>
      </c>
      <c r="L30" s="139">
        <v>163611</v>
      </c>
      <c r="M30" s="139">
        <v>52106</v>
      </c>
      <c r="N30" s="139">
        <v>111505</v>
      </c>
      <c r="O30" s="139">
        <v>37792</v>
      </c>
      <c r="P30" s="139">
        <v>201403</v>
      </c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</row>
    <row r="31" spans="1:48" x14ac:dyDescent="0.15">
      <c r="A31" s="117">
        <v>2004</v>
      </c>
      <c r="B31" s="139">
        <v>125677</v>
      </c>
      <c r="C31" s="139">
        <v>62725</v>
      </c>
      <c r="D31" s="139">
        <v>62952</v>
      </c>
      <c r="E31" s="139">
        <v>91535</v>
      </c>
      <c r="F31" s="139">
        <v>217213</v>
      </c>
      <c r="G31" s="139">
        <v>58809</v>
      </c>
      <c r="H31" s="139">
        <v>22080</v>
      </c>
      <c r="I31" s="139">
        <v>36728</v>
      </c>
      <c r="J31" s="139">
        <v>26799</v>
      </c>
      <c r="K31" s="139">
        <v>85608</v>
      </c>
      <c r="L31" s="139">
        <v>184486</v>
      </c>
      <c r="M31" s="139">
        <v>84806</v>
      </c>
      <c r="N31" s="139">
        <v>99680</v>
      </c>
      <c r="O31" s="139">
        <v>118335</v>
      </c>
      <c r="P31" s="139">
        <v>302821</v>
      </c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</row>
    <row r="32" spans="1:48" x14ac:dyDescent="0.15">
      <c r="A32" s="117">
        <v>2005</v>
      </c>
      <c r="B32" s="139">
        <v>110903</v>
      </c>
      <c r="C32" s="139">
        <v>67857</v>
      </c>
      <c r="D32" s="139">
        <v>43046</v>
      </c>
      <c r="E32" s="139">
        <v>63714</v>
      </c>
      <c r="F32" s="139">
        <v>174617</v>
      </c>
      <c r="G32" s="139">
        <v>53343</v>
      </c>
      <c r="H32" s="139">
        <v>18555</v>
      </c>
      <c r="I32" s="139">
        <v>34788</v>
      </c>
      <c r="J32" s="139">
        <v>28643</v>
      </c>
      <c r="K32" s="139">
        <v>81986</v>
      </c>
      <c r="L32" s="139">
        <v>164245</v>
      </c>
      <c r="M32" s="139">
        <v>86412</v>
      </c>
      <c r="N32" s="139">
        <v>77834</v>
      </c>
      <c r="O32" s="139">
        <v>92357</v>
      </c>
      <c r="P32" s="139">
        <v>256602</v>
      </c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</row>
    <row r="33" spans="1:48" x14ac:dyDescent="0.15">
      <c r="A33" s="117">
        <v>2006</v>
      </c>
      <c r="B33" s="139">
        <v>130174</v>
      </c>
      <c r="C33" s="139">
        <v>76719</v>
      </c>
      <c r="D33" s="139">
        <v>53455</v>
      </c>
      <c r="E33" s="139">
        <v>54923</v>
      </c>
      <c r="F33" s="139">
        <v>185097</v>
      </c>
      <c r="G33" s="139">
        <v>35788</v>
      </c>
      <c r="H33" s="139">
        <v>8185</v>
      </c>
      <c r="I33" s="139">
        <v>27603</v>
      </c>
      <c r="J33" s="139">
        <v>9772</v>
      </c>
      <c r="K33" s="139">
        <v>45560</v>
      </c>
      <c r="L33" s="139">
        <v>165962</v>
      </c>
      <c r="M33" s="139">
        <v>84904</v>
      </c>
      <c r="N33" s="139">
        <v>81058</v>
      </c>
      <c r="O33" s="139">
        <v>64695</v>
      </c>
      <c r="P33" s="139">
        <v>230657</v>
      </c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</row>
    <row r="34" spans="1:48" x14ac:dyDescent="0.15">
      <c r="A34" s="117">
        <v>2007</v>
      </c>
      <c r="B34" s="139">
        <v>59537</v>
      </c>
      <c r="C34" s="139">
        <v>38663</v>
      </c>
      <c r="D34" s="139">
        <v>20874</v>
      </c>
      <c r="E34" s="139">
        <v>63330</v>
      </c>
      <c r="F34" s="139">
        <v>122867</v>
      </c>
      <c r="G34" s="139">
        <v>32418</v>
      </c>
      <c r="H34" s="139">
        <v>11553</v>
      </c>
      <c r="I34" s="139">
        <v>20865</v>
      </c>
      <c r="J34" s="139">
        <v>5274</v>
      </c>
      <c r="K34" s="139">
        <v>37692</v>
      </c>
      <c r="L34" s="139">
        <v>91955</v>
      </c>
      <c r="M34" s="139">
        <v>50216</v>
      </c>
      <c r="N34" s="139">
        <v>41739</v>
      </c>
      <c r="O34" s="139">
        <v>68604</v>
      </c>
      <c r="P34" s="139">
        <v>160559</v>
      </c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</row>
    <row r="35" spans="1:48" x14ac:dyDescent="0.15">
      <c r="A35" s="117">
        <v>2008</v>
      </c>
      <c r="B35" s="139">
        <v>28592</v>
      </c>
      <c r="C35" s="139">
        <v>18176</v>
      </c>
      <c r="D35" s="139">
        <v>10416</v>
      </c>
      <c r="E35" s="139">
        <v>17743</v>
      </c>
      <c r="F35" s="139">
        <v>46335</v>
      </c>
      <c r="G35" s="139">
        <v>21494</v>
      </c>
      <c r="H35" s="139">
        <v>5316</v>
      </c>
      <c r="I35" s="139">
        <v>16178</v>
      </c>
      <c r="J35" s="139">
        <v>10434</v>
      </c>
      <c r="K35" s="139">
        <v>31928</v>
      </c>
      <c r="L35" s="139">
        <v>50087</v>
      </c>
      <c r="M35" s="139">
        <v>23493</v>
      </c>
      <c r="N35" s="139">
        <v>26594</v>
      </c>
      <c r="O35" s="139">
        <v>28177</v>
      </c>
      <c r="P35" s="139">
        <v>78264</v>
      </c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</row>
    <row r="36" spans="1:48" x14ac:dyDescent="0.15">
      <c r="A36" s="117">
        <v>2009</v>
      </c>
      <c r="B36" s="139">
        <v>60428</v>
      </c>
      <c r="C36" s="139">
        <v>30104</v>
      </c>
      <c r="D36" s="139">
        <v>30324</v>
      </c>
      <c r="E36" s="139">
        <v>37664</v>
      </c>
      <c r="F36" s="139">
        <v>98092</v>
      </c>
      <c r="G36" s="139">
        <v>24082</v>
      </c>
      <c r="H36" s="139">
        <v>6933</v>
      </c>
      <c r="I36" s="139">
        <v>17148</v>
      </c>
      <c r="J36" s="139">
        <v>17304</v>
      </c>
      <c r="K36" s="139">
        <v>41385</v>
      </c>
      <c r="L36" s="139">
        <v>84509</v>
      </c>
      <c r="M36" s="139">
        <v>37037</v>
      </c>
      <c r="N36" s="139">
        <v>47472</v>
      </c>
      <c r="O36" s="139">
        <v>54968</v>
      </c>
      <c r="P36" s="139">
        <v>139477</v>
      </c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</row>
    <row r="37" spans="1:48" x14ac:dyDescent="0.15">
      <c r="A37" s="117">
        <v>2010</v>
      </c>
      <c r="B37" s="139">
        <v>48521</v>
      </c>
      <c r="C37" s="139">
        <v>25819</v>
      </c>
      <c r="D37" s="139">
        <v>22702</v>
      </c>
      <c r="E37" s="139">
        <v>17565</v>
      </c>
      <c r="F37" s="139">
        <v>66086</v>
      </c>
      <c r="G37" s="139">
        <v>34152</v>
      </c>
      <c r="H37" s="139">
        <v>9320</v>
      </c>
      <c r="I37" s="139">
        <v>24831</v>
      </c>
      <c r="J37" s="139">
        <v>11018</v>
      </c>
      <c r="K37" s="139">
        <v>45169</v>
      </c>
      <c r="L37" s="139">
        <v>82672</v>
      </c>
      <c r="M37" s="139">
        <v>35139</v>
      </c>
      <c r="N37" s="139">
        <v>47533</v>
      </c>
      <c r="O37" s="139">
        <v>28583</v>
      </c>
      <c r="P37" s="139">
        <v>111255</v>
      </c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</row>
    <row r="38" spans="1:48" x14ac:dyDescent="0.15">
      <c r="A38" s="117">
        <v>2011</v>
      </c>
      <c r="B38" s="139">
        <v>65226</v>
      </c>
      <c r="C38" s="139">
        <v>30978</v>
      </c>
      <c r="D38" s="139">
        <v>34248</v>
      </c>
      <c r="E38" s="139">
        <v>37480</v>
      </c>
      <c r="F38" s="139">
        <v>102706</v>
      </c>
      <c r="G38" s="139">
        <v>45750</v>
      </c>
      <c r="H38" s="139">
        <v>16357</v>
      </c>
      <c r="I38" s="139">
        <v>29393</v>
      </c>
      <c r="J38" s="139">
        <v>19021</v>
      </c>
      <c r="K38" s="139">
        <v>64771</v>
      </c>
      <c r="L38" s="139">
        <v>110977</v>
      </c>
      <c r="M38" s="139">
        <v>47335</v>
      </c>
      <c r="N38" s="139">
        <v>63641</v>
      </c>
      <c r="O38" s="139">
        <v>56501</v>
      </c>
      <c r="P38" s="139">
        <v>167477</v>
      </c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</row>
    <row r="39" spans="1:48" x14ac:dyDescent="0.15">
      <c r="A39" s="117">
        <v>2012</v>
      </c>
      <c r="B39" s="139">
        <v>23550</v>
      </c>
      <c r="C39" s="139">
        <v>10087</v>
      </c>
      <c r="D39" s="139">
        <v>13463</v>
      </c>
      <c r="E39" s="139">
        <v>6188</v>
      </c>
      <c r="F39" s="139">
        <v>29738</v>
      </c>
      <c r="G39" s="139">
        <v>47158</v>
      </c>
      <c r="H39" s="139">
        <v>13347</v>
      </c>
      <c r="I39" s="139">
        <v>33812</v>
      </c>
      <c r="J39" s="139">
        <v>14340</v>
      </c>
      <c r="K39" s="139">
        <v>61498</v>
      </c>
      <c r="L39" s="139">
        <v>70708</v>
      </c>
      <c r="M39" s="139">
        <v>23433</v>
      </c>
      <c r="N39" s="139">
        <v>47275</v>
      </c>
      <c r="O39" s="139">
        <v>20528</v>
      </c>
      <c r="P39" s="139">
        <v>91236</v>
      </c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</row>
    <row r="40" spans="1:48" x14ac:dyDescent="0.15">
      <c r="A40" s="117">
        <v>2013</v>
      </c>
      <c r="B40" s="139">
        <v>29173</v>
      </c>
      <c r="C40" s="139">
        <v>13345</v>
      </c>
      <c r="D40" s="139">
        <v>15828</v>
      </c>
      <c r="E40" s="139">
        <v>7618</v>
      </c>
      <c r="F40" s="139">
        <v>36791</v>
      </c>
      <c r="G40" s="139">
        <v>41236</v>
      </c>
      <c r="H40" s="139">
        <v>14144</v>
      </c>
      <c r="I40" s="139">
        <v>27091</v>
      </c>
      <c r="J40" s="139">
        <v>15684</v>
      </c>
      <c r="K40" s="139">
        <v>56920</v>
      </c>
      <c r="L40" s="139">
        <v>70408</v>
      </c>
      <c r="M40" s="139">
        <v>27489</v>
      </c>
      <c r="N40" s="139">
        <v>42919</v>
      </c>
      <c r="O40" s="139">
        <v>23302</v>
      </c>
      <c r="P40" s="139">
        <v>93710</v>
      </c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</row>
    <row r="41" spans="1:48" x14ac:dyDescent="0.15">
      <c r="A41" s="117">
        <v>2014</v>
      </c>
      <c r="B41" s="139">
        <v>64179</v>
      </c>
      <c r="C41" s="139">
        <v>24434</v>
      </c>
      <c r="D41" s="139">
        <v>39745</v>
      </c>
      <c r="E41" s="139">
        <v>10533</v>
      </c>
      <c r="F41" s="139">
        <v>74712</v>
      </c>
      <c r="G41" s="139">
        <v>27322</v>
      </c>
      <c r="H41" s="139">
        <v>7630</v>
      </c>
      <c r="I41" s="139">
        <v>19691</v>
      </c>
      <c r="J41" s="139">
        <v>8363</v>
      </c>
      <c r="K41" s="139">
        <v>35685</v>
      </c>
      <c r="L41" s="139">
        <v>91501</v>
      </c>
      <c r="M41" s="139">
        <v>32064</v>
      </c>
      <c r="N41" s="139">
        <v>59436</v>
      </c>
      <c r="O41" s="139">
        <v>18896</v>
      </c>
      <c r="P41" s="139">
        <v>110397</v>
      </c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</row>
    <row r="42" spans="1:48" x14ac:dyDescent="0.15">
      <c r="A42" s="117">
        <v>2015</v>
      </c>
      <c r="B42" s="139">
        <v>61944</v>
      </c>
      <c r="C42" s="139">
        <v>28785</v>
      </c>
      <c r="D42" s="139">
        <v>33159</v>
      </c>
      <c r="E42" s="139">
        <v>12207</v>
      </c>
      <c r="F42" s="139">
        <v>74151</v>
      </c>
      <c r="G42" s="139">
        <v>40661</v>
      </c>
      <c r="H42" s="139">
        <v>14229</v>
      </c>
      <c r="I42" s="139">
        <v>26432</v>
      </c>
      <c r="J42" s="139">
        <v>10552</v>
      </c>
      <c r="K42" s="139">
        <v>51212</v>
      </c>
      <c r="L42" s="139">
        <v>102605</v>
      </c>
      <c r="M42" s="139">
        <v>43014</v>
      </c>
      <c r="N42" s="139">
        <v>59591</v>
      </c>
      <c r="O42" s="139">
        <v>22759</v>
      </c>
      <c r="P42" s="139">
        <v>125363</v>
      </c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</row>
    <row r="43" spans="1:48" x14ac:dyDescent="0.15">
      <c r="A43" s="117">
        <v>2016</v>
      </c>
      <c r="B43" s="139">
        <v>100431</v>
      </c>
      <c r="C43" s="139">
        <v>61973</v>
      </c>
      <c r="D43" s="139">
        <v>38458</v>
      </c>
      <c r="E43" s="139">
        <v>54900</v>
      </c>
      <c r="F43" s="139">
        <v>155331</v>
      </c>
      <c r="G43" s="139">
        <v>40310</v>
      </c>
      <c r="H43" s="139">
        <v>11665</v>
      </c>
      <c r="I43" s="139">
        <v>28646</v>
      </c>
      <c r="J43" s="139">
        <v>15343</v>
      </c>
      <c r="K43" s="139">
        <v>55653</v>
      </c>
      <c r="L43" s="139">
        <v>140742</v>
      </c>
      <c r="M43" s="139">
        <v>73638</v>
      </c>
      <c r="N43" s="139">
        <v>67104</v>
      </c>
      <c r="O43" s="139">
        <v>70243</v>
      </c>
      <c r="P43" s="139">
        <v>210984</v>
      </c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</row>
    <row r="44" spans="1:48" x14ac:dyDescent="0.15">
      <c r="A44" s="117">
        <v>2017</v>
      </c>
      <c r="B44" s="139">
        <v>48649</v>
      </c>
      <c r="C44" s="139">
        <v>29408</v>
      </c>
      <c r="D44" s="139">
        <v>19241</v>
      </c>
      <c r="E44" s="139">
        <v>14698</v>
      </c>
      <c r="F44" s="139">
        <v>63347</v>
      </c>
      <c r="G44" s="139">
        <v>19098</v>
      </c>
      <c r="H44" s="139">
        <v>7420</v>
      </c>
      <c r="I44" s="139">
        <v>11678</v>
      </c>
      <c r="J44" s="139">
        <v>7122</v>
      </c>
      <c r="K44" s="139">
        <v>26220</v>
      </c>
      <c r="L44" s="139">
        <v>67747</v>
      </c>
      <c r="M44" s="139">
        <v>36828</v>
      </c>
      <c r="N44" s="139">
        <v>30919</v>
      </c>
      <c r="O44" s="139">
        <v>21820</v>
      </c>
      <c r="P44" s="139">
        <v>89566</v>
      </c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</row>
    <row r="45" spans="1:48" x14ac:dyDescent="0.15">
      <c r="A45" s="117">
        <v>2018</v>
      </c>
      <c r="B45" s="139">
        <v>34338</v>
      </c>
      <c r="C45" s="139">
        <v>17988</v>
      </c>
      <c r="D45" s="139">
        <v>16350</v>
      </c>
      <c r="E45" s="139">
        <v>4327</v>
      </c>
      <c r="F45" s="139">
        <v>38664</v>
      </c>
      <c r="G45" s="139">
        <v>17745</v>
      </c>
      <c r="H45" s="139">
        <v>5586</v>
      </c>
      <c r="I45" s="139">
        <v>12159</v>
      </c>
      <c r="J45" s="139">
        <v>4316</v>
      </c>
      <c r="K45" s="139">
        <v>22061</v>
      </c>
      <c r="L45" s="139">
        <v>52083</v>
      </c>
      <c r="M45" s="139">
        <v>23573</v>
      </c>
      <c r="N45" s="139">
        <v>28509</v>
      </c>
      <c r="O45" s="139">
        <v>8642</v>
      </c>
      <c r="P45" s="139">
        <v>60725</v>
      </c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</row>
    <row r="46" spans="1:48" x14ac:dyDescent="0.15">
      <c r="A46" s="117">
        <v>2019</v>
      </c>
      <c r="B46" s="139">
        <v>50845</v>
      </c>
      <c r="C46" s="139">
        <v>14058</v>
      </c>
      <c r="D46" s="139">
        <v>36787</v>
      </c>
      <c r="E46" s="139">
        <v>7784</v>
      </c>
      <c r="F46" s="139">
        <v>58628</v>
      </c>
      <c r="G46" s="139">
        <v>25541</v>
      </c>
      <c r="H46" s="139">
        <v>2367</v>
      </c>
      <c r="I46" s="139">
        <v>23174</v>
      </c>
      <c r="J46" s="139">
        <v>5153</v>
      </c>
      <c r="K46" s="139">
        <v>30694</v>
      </c>
      <c r="L46" s="139">
        <v>76386</v>
      </c>
      <c r="M46" s="139">
        <v>16425</v>
      </c>
      <c r="N46" s="139">
        <v>59961</v>
      </c>
      <c r="O46" s="139">
        <v>12936</v>
      </c>
      <c r="P46" s="139">
        <v>89322</v>
      </c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</row>
    <row r="47" spans="1:48" x14ac:dyDescent="0.15">
      <c r="A47" s="117">
        <v>2020</v>
      </c>
      <c r="B47" s="139">
        <v>22336</v>
      </c>
      <c r="C47" s="139">
        <v>11178</v>
      </c>
      <c r="D47" s="139">
        <v>11158</v>
      </c>
      <c r="E47" s="139">
        <v>4122</v>
      </c>
      <c r="F47" s="139">
        <v>26458</v>
      </c>
      <c r="G47" s="139">
        <v>9316</v>
      </c>
      <c r="H47" s="139">
        <v>2191</v>
      </c>
      <c r="I47" s="139">
        <v>7126</v>
      </c>
      <c r="J47" s="139">
        <v>1809</v>
      </c>
      <c r="K47" s="139">
        <v>11125</v>
      </c>
      <c r="L47" s="139">
        <v>31653</v>
      </c>
      <c r="M47" s="139">
        <v>13369</v>
      </c>
      <c r="N47" s="139">
        <v>18284</v>
      </c>
      <c r="O47" s="139">
        <v>5931</v>
      </c>
      <c r="P47" s="139">
        <v>37584</v>
      </c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</row>
    <row r="48" spans="1:48" x14ac:dyDescent="0.15">
      <c r="A48" s="117">
        <v>2021</v>
      </c>
      <c r="B48" s="139">
        <v>47314</v>
      </c>
      <c r="C48" s="139">
        <v>4468</v>
      </c>
      <c r="D48" s="139">
        <v>42846</v>
      </c>
      <c r="E48" s="139">
        <v>2882</v>
      </c>
      <c r="F48" s="139">
        <v>50196</v>
      </c>
      <c r="G48" s="149">
        <v>38353</v>
      </c>
      <c r="H48" s="141">
        <v>637</v>
      </c>
      <c r="I48" s="139">
        <v>37717</v>
      </c>
      <c r="J48" s="139">
        <v>2523</v>
      </c>
      <c r="K48" s="139">
        <v>40876</v>
      </c>
      <c r="L48" s="149">
        <v>85668</v>
      </c>
      <c r="M48" s="139">
        <v>5105</v>
      </c>
      <c r="N48" s="139">
        <v>80563</v>
      </c>
      <c r="O48" s="139">
        <v>5405</v>
      </c>
      <c r="P48" s="139">
        <v>91072</v>
      </c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</row>
    <row r="49" spans="1:48" x14ac:dyDescent="0.15">
      <c r="A49" s="117">
        <v>2022</v>
      </c>
      <c r="B49" s="139">
        <v>64026</v>
      </c>
      <c r="C49" s="139">
        <v>11254</v>
      </c>
      <c r="D49" s="139">
        <v>52772</v>
      </c>
      <c r="E49" s="139">
        <v>9756</v>
      </c>
      <c r="F49" s="139">
        <v>73781</v>
      </c>
      <c r="G49" s="149">
        <v>56133</v>
      </c>
      <c r="H49" s="139">
        <v>1174</v>
      </c>
      <c r="I49" s="139">
        <v>54959</v>
      </c>
      <c r="J49" s="139">
        <v>4308</v>
      </c>
      <c r="K49" s="139">
        <v>60442</v>
      </c>
      <c r="L49" s="149">
        <v>120159</v>
      </c>
      <c r="M49" s="139">
        <v>12428</v>
      </c>
      <c r="N49" s="139">
        <v>107731</v>
      </c>
      <c r="O49" s="139">
        <v>14064</v>
      </c>
      <c r="P49" s="139">
        <v>134223</v>
      </c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</row>
    <row r="50" spans="1:48" x14ac:dyDescent="0.15">
      <c r="A50" s="117">
        <v>2023</v>
      </c>
      <c r="B50" s="139">
        <v>53615</v>
      </c>
      <c r="C50" s="139">
        <v>16256</v>
      </c>
      <c r="D50" s="139">
        <v>37359</v>
      </c>
      <c r="E50" s="139">
        <v>5626</v>
      </c>
      <c r="F50" s="139">
        <v>59240</v>
      </c>
      <c r="G50" s="149">
        <v>21713</v>
      </c>
      <c r="H50" s="139">
        <v>1432</v>
      </c>
      <c r="I50" s="139">
        <v>20281</v>
      </c>
      <c r="J50" s="139">
        <v>4203</v>
      </c>
      <c r="K50" s="139">
        <v>25916</v>
      </c>
      <c r="L50" s="149">
        <v>75328</v>
      </c>
      <c r="M50" s="139">
        <v>17688</v>
      </c>
      <c r="N50" s="139">
        <v>57640</v>
      </c>
      <c r="O50" s="139">
        <v>9829</v>
      </c>
      <c r="P50" s="139">
        <v>85157</v>
      </c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</row>
    <row r="51" spans="1:48" x14ac:dyDescent="0.15">
      <c r="A51" s="118">
        <v>2024</v>
      </c>
      <c r="B51" s="142">
        <v>106872</v>
      </c>
      <c r="C51" s="142">
        <v>28853</v>
      </c>
      <c r="D51" s="142">
        <v>78019</v>
      </c>
      <c r="E51" s="142">
        <v>18717</v>
      </c>
      <c r="F51" s="142">
        <v>125589</v>
      </c>
      <c r="G51" s="150">
        <v>57031</v>
      </c>
      <c r="H51" s="142">
        <v>2164</v>
      </c>
      <c r="I51" s="142">
        <v>54867</v>
      </c>
      <c r="J51" s="142">
        <v>10319</v>
      </c>
      <c r="K51" s="142">
        <v>67349</v>
      </c>
      <c r="L51" s="150">
        <v>163903</v>
      </c>
      <c r="M51" s="142">
        <v>31017</v>
      </c>
      <c r="N51" s="142">
        <v>132886</v>
      </c>
      <c r="O51" s="142">
        <v>29035</v>
      </c>
      <c r="P51" s="142">
        <v>192938</v>
      </c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</row>
    <row r="52" spans="1:48" x14ac:dyDescent="0.15">
      <c r="A52" s="200" t="s">
        <v>24</v>
      </c>
      <c r="B52" s="200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</row>
    <row r="53" spans="1:48" x14ac:dyDescent="0.15">
      <c r="A53" s="117" t="s">
        <v>344</v>
      </c>
      <c r="B53" s="139">
        <v>52131</v>
      </c>
      <c r="C53" s="139">
        <v>23092</v>
      </c>
      <c r="D53" s="139">
        <v>29038</v>
      </c>
      <c r="E53" s="139">
        <v>24018</v>
      </c>
      <c r="F53" s="139">
        <v>76149</v>
      </c>
      <c r="G53" s="139">
        <v>42725</v>
      </c>
      <c r="H53" s="139">
        <v>10647</v>
      </c>
      <c r="I53" s="139">
        <v>32078</v>
      </c>
      <c r="J53" s="139">
        <v>12777</v>
      </c>
      <c r="K53" s="139">
        <v>55501</v>
      </c>
      <c r="L53" s="139">
        <v>94855</v>
      </c>
      <c r="M53" s="139">
        <v>33739</v>
      </c>
      <c r="N53" s="139">
        <v>61116</v>
      </c>
      <c r="O53" s="139">
        <v>36795</v>
      </c>
      <c r="P53" s="139">
        <v>131650</v>
      </c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</row>
    <row r="54" spans="1:48" x14ac:dyDescent="0.15">
      <c r="A54" s="118" t="s">
        <v>302</v>
      </c>
      <c r="B54" s="142">
        <v>54768</v>
      </c>
      <c r="C54" s="142">
        <v>21980</v>
      </c>
      <c r="D54" s="142">
        <v>32788</v>
      </c>
      <c r="E54" s="142">
        <v>12683</v>
      </c>
      <c r="F54" s="142">
        <v>67451</v>
      </c>
      <c r="G54" s="142">
        <v>29619</v>
      </c>
      <c r="H54" s="142">
        <v>5433</v>
      </c>
      <c r="I54" s="142">
        <v>24186</v>
      </c>
      <c r="J54" s="142">
        <v>6369</v>
      </c>
      <c r="K54" s="142">
        <v>35988</v>
      </c>
      <c r="L54" s="142">
        <v>84387</v>
      </c>
      <c r="M54" s="142">
        <v>27413</v>
      </c>
      <c r="N54" s="142">
        <v>56974</v>
      </c>
      <c r="O54" s="142">
        <v>19052</v>
      </c>
      <c r="P54" s="142">
        <v>103439</v>
      </c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</row>
    <row r="55" spans="1:48" ht="16" x14ac:dyDescent="0.3">
      <c r="A55" s="116"/>
      <c r="B55" s="199" t="s">
        <v>66</v>
      </c>
      <c r="C55" s="199"/>
      <c r="D55" s="199"/>
      <c r="E55" s="199"/>
      <c r="F55" s="199"/>
      <c r="G55" s="199" t="s">
        <v>38</v>
      </c>
      <c r="H55" s="199"/>
      <c r="I55" s="199"/>
      <c r="J55" s="199"/>
      <c r="K55" s="199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</row>
    <row r="56" spans="1:48" x14ac:dyDescent="0.15">
      <c r="A56" s="116"/>
      <c r="B56" s="126" t="s">
        <v>59</v>
      </c>
      <c r="C56" s="126" t="s">
        <v>3</v>
      </c>
      <c r="D56" s="126" t="s">
        <v>60</v>
      </c>
      <c r="E56" s="126" t="s">
        <v>4</v>
      </c>
      <c r="F56" s="126" t="s">
        <v>61</v>
      </c>
      <c r="G56" s="126" t="s">
        <v>59</v>
      </c>
      <c r="H56" s="126" t="s">
        <v>3</v>
      </c>
      <c r="I56" s="126"/>
      <c r="J56" s="126" t="s">
        <v>4</v>
      </c>
      <c r="K56" s="126" t="s">
        <v>5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</row>
    <row r="57" spans="1:48" x14ac:dyDescent="0.15">
      <c r="A57" s="110" t="s">
        <v>10</v>
      </c>
      <c r="B57" s="111" t="s">
        <v>14</v>
      </c>
      <c r="C57" s="111" t="s">
        <v>62</v>
      </c>
      <c r="D57" s="111" t="s">
        <v>63</v>
      </c>
      <c r="E57" s="111" t="s">
        <v>64</v>
      </c>
      <c r="F57" s="111" t="s">
        <v>65</v>
      </c>
      <c r="G57" s="111" t="s">
        <v>14</v>
      </c>
      <c r="H57" s="111" t="s">
        <v>64</v>
      </c>
      <c r="I57" s="111" t="s">
        <v>67</v>
      </c>
      <c r="J57" s="111" t="s">
        <v>64</v>
      </c>
      <c r="K57" s="111" t="s">
        <v>65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</row>
    <row r="58" spans="1:48" x14ac:dyDescent="0.15">
      <c r="A58" s="117">
        <v>1979</v>
      </c>
      <c r="B58" s="139">
        <v>40353</v>
      </c>
      <c r="C58" s="139">
        <v>13534</v>
      </c>
      <c r="D58" s="139">
        <v>26819</v>
      </c>
      <c r="E58" s="140">
        <v>8299</v>
      </c>
      <c r="F58" s="139">
        <v>48652</v>
      </c>
      <c r="G58" s="141"/>
      <c r="H58" s="141"/>
      <c r="I58" s="141"/>
      <c r="J58" s="141"/>
      <c r="K58" s="141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</row>
    <row r="59" spans="1:48" x14ac:dyDescent="0.15">
      <c r="A59" s="117">
        <v>1980</v>
      </c>
      <c r="B59" s="139">
        <v>62743</v>
      </c>
      <c r="C59" s="139">
        <v>20919</v>
      </c>
      <c r="D59" s="139">
        <v>41824</v>
      </c>
      <c r="E59" s="140">
        <v>23206</v>
      </c>
      <c r="F59" s="139">
        <v>85949</v>
      </c>
      <c r="G59" s="141"/>
      <c r="H59" s="141"/>
      <c r="I59" s="141"/>
      <c r="J59" s="141"/>
      <c r="K59" s="141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</row>
    <row r="60" spans="1:48" x14ac:dyDescent="0.15">
      <c r="A60" s="117">
        <v>1981</v>
      </c>
      <c r="B60" s="139">
        <v>138879</v>
      </c>
      <c r="C60" s="139">
        <v>27017</v>
      </c>
      <c r="D60" s="139">
        <v>111862</v>
      </c>
      <c r="E60" s="140">
        <v>27538</v>
      </c>
      <c r="F60" s="139">
        <v>166417</v>
      </c>
      <c r="G60" s="141"/>
      <c r="H60" s="141"/>
      <c r="I60" s="141"/>
      <c r="J60" s="141"/>
      <c r="K60" s="141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</row>
    <row r="61" spans="1:48" x14ac:dyDescent="0.15">
      <c r="A61" s="117">
        <v>1982</v>
      </c>
      <c r="B61" s="139">
        <v>68761</v>
      </c>
      <c r="C61" s="139">
        <v>20540</v>
      </c>
      <c r="D61" s="139">
        <v>48221</v>
      </c>
      <c r="E61" s="140">
        <v>42482</v>
      </c>
      <c r="F61" s="139">
        <v>111243</v>
      </c>
      <c r="G61" s="141"/>
      <c r="H61" s="141"/>
      <c r="I61" s="141"/>
      <c r="J61" s="141"/>
      <c r="K61" s="141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</row>
    <row r="62" spans="1:48" x14ac:dyDescent="0.15">
      <c r="A62" s="117">
        <v>1983</v>
      </c>
      <c r="B62" s="139">
        <v>71683</v>
      </c>
      <c r="C62" s="139">
        <v>21120</v>
      </c>
      <c r="D62" s="139">
        <v>50563</v>
      </c>
      <c r="E62" s="140">
        <v>5774</v>
      </c>
      <c r="F62" s="139">
        <v>77457</v>
      </c>
      <c r="G62" s="141"/>
      <c r="H62" s="141"/>
      <c r="I62" s="141"/>
      <c r="J62" s="141"/>
      <c r="K62" s="141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</row>
    <row r="63" spans="1:48" x14ac:dyDescent="0.15">
      <c r="A63" s="117">
        <v>1984</v>
      </c>
      <c r="B63" s="139">
        <v>76211</v>
      </c>
      <c r="C63" s="139">
        <v>5327</v>
      </c>
      <c r="D63" s="139">
        <v>70884</v>
      </c>
      <c r="E63" s="140">
        <v>7750</v>
      </c>
      <c r="F63" s="139">
        <v>83961</v>
      </c>
      <c r="G63" s="141"/>
      <c r="H63" s="141"/>
      <c r="I63" s="141"/>
      <c r="J63" s="141"/>
      <c r="K63" s="141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</row>
    <row r="64" spans="1:48" x14ac:dyDescent="0.15">
      <c r="A64" s="117">
        <v>1985</v>
      </c>
      <c r="B64" s="139">
        <v>184747</v>
      </c>
      <c r="C64" s="139">
        <v>26804</v>
      </c>
      <c r="D64" s="139">
        <v>157943</v>
      </c>
      <c r="E64" s="139">
        <v>29747</v>
      </c>
      <c r="F64" s="139">
        <v>214494</v>
      </c>
      <c r="G64" s="141"/>
      <c r="H64" s="141"/>
      <c r="I64" s="141"/>
      <c r="J64" s="141"/>
      <c r="K64" s="141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</row>
    <row r="65" spans="1:48" x14ac:dyDescent="0.15">
      <c r="A65" s="117">
        <v>1986</v>
      </c>
      <c r="B65" s="139">
        <v>69036</v>
      </c>
      <c r="C65" s="139">
        <v>17846</v>
      </c>
      <c r="D65" s="139">
        <v>51190</v>
      </c>
      <c r="E65" s="139">
        <v>6420</v>
      </c>
      <c r="F65" s="139">
        <v>75456</v>
      </c>
      <c r="G65" s="141"/>
      <c r="H65" s="141"/>
      <c r="I65" s="141"/>
      <c r="J65" s="141"/>
      <c r="K65" s="141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</row>
    <row r="66" spans="1:48" x14ac:dyDescent="0.15">
      <c r="A66" s="117">
        <v>1987</v>
      </c>
      <c r="B66" s="139">
        <v>39264</v>
      </c>
      <c r="C66" s="139">
        <v>11283</v>
      </c>
      <c r="D66" s="139">
        <v>27981</v>
      </c>
      <c r="E66" s="139">
        <v>4077</v>
      </c>
      <c r="F66" s="139">
        <v>43342</v>
      </c>
      <c r="G66" s="141"/>
      <c r="H66" s="141"/>
      <c r="I66" s="141"/>
      <c r="J66" s="141"/>
      <c r="K66" s="141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</row>
    <row r="67" spans="1:48" x14ac:dyDescent="0.15">
      <c r="A67" s="117">
        <v>1988</v>
      </c>
      <c r="B67" s="139">
        <v>41915</v>
      </c>
      <c r="C67" s="139">
        <v>16538</v>
      </c>
      <c r="D67" s="139">
        <v>25377</v>
      </c>
      <c r="E67" s="139">
        <v>3181</v>
      </c>
      <c r="F67" s="139">
        <v>45096</v>
      </c>
      <c r="G67" s="141"/>
      <c r="H67" s="141"/>
      <c r="I67" s="141"/>
      <c r="J67" s="141"/>
      <c r="K67" s="141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</row>
    <row r="68" spans="1:48" x14ac:dyDescent="0.15">
      <c r="A68" s="117">
        <v>1989</v>
      </c>
      <c r="B68" s="139">
        <v>75058</v>
      </c>
      <c r="C68" s="139">
        <v>21639</v>
      </c>
      <c r="D68" s="139">
        <v>53419</v>
      </c>
      <c r="E68" s="139">
        <v>15492</v>
      </c>
      <c r="F68" s="139">
        <v>90550</v>
      </c>
      <c r="G68" s="141"/>
      <c r="H68" s="141"/>
      <c r="I68" s="141"/>
      <c r="J68" s="141"/>
      <c r="K68" s="141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</row>
    <row r="69" spans="1:48" x14ac:dyDescent="0.15">
      <c r="A69" s="117">
        <v>1990</v>
      </c>
      <c r="B69" s="139">
        <v>57529</v>
      </c>
      <c r="C69" s="139">
        <v>19964</v>
      </c>
      <c r="D69" s="139">
        <v>37565</v>
      </c>
      <c r="E69" s="139">
        <v>9856</v>
      </c>
      <c r="F69" s="139">
        <v>67385</v>
      </c>
      <c r="G69" s="141"/>
      <c r="H69" s="141"/>
      <c r="I69" s="141"/>
      <c r="J69" s="141"/>
      <c r="K69" s="141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</row>
    <row r="70" spans="1:48" x14ac:dyDescent="0.15">
      <c r="A70" s="117">
        <v>1991</v>
      </c>
      <c r="B70" s="139">
        <v>120153</v>
      </c>
      <c r="C70" s="139">
        <v>25138</v>
      </c>
      <c r="D70" s="139">
        <v>95015</v>
      </c>
      <c r="E70" s="139">
        <v>31284</v>
      </c>
      <c r="F70" s="139">
        <v>151437</v>
      </c>
      <c r="G70" s="141"/>
      <c r="H70" s="141"/>
      <c r="I70" s="141"/>
      <c r="J70" s="141"/>
      <c r="K70" s="141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</row>
    <row r="71" spans="1:48" x14ac:dyDescent="0.15">
      <c r="A71" s="117">
        <v>1992</v>
      </c>
      <c r="B71" s="139">
        <v>154541</v>
      </c>
      <c r="C71" s="139">
        <v>29242</v>
      </c>
      <c r="D71" s="139">
        <v>125299</v>
      </c>
      <c r="E71" s="139">
        <v>77394</v>
      </c>
      <c r="F71" s="139">
        <v>231935</v>
      </c>
      <c r="G71" s="141"/>
      <c r="H71" s="141"/>
      <c r="I71" s="141"/>
      <c r="J71" s="141"/>
      <c r="K71" s="141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</row>
    <row r="72" spans="1:48" x14ac:dyDescent="0.15">
      <c r="A72" s="117">
        <v>1993</v>
      </c>
      <c r="B72" s="139">
        <v>176100</v>
      </c>
      <c r="C72" s="139">
        <v>52698</v>
      </c>
      <c r="D72" s="139">
        <v>123402</v>
      </c>
      <c r="E72" s="139">
        <v>104630</v>
      </c>
      <c r="F72" s="139">
        <v>280730</v>
      </c>
      <c r="G72" s="141"/>
      <c r="H72" s="141"/>
      <c r="I72" s="141"/>
      <c r="J72" s="141"/>
      <c r="K72" s="141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</row>
    <row r="73" spans="1:48" x14ac:dyDescent="0.15">
      <c r="A73" s="117">
        <v>1994</v>
      </c>
      <c r="B73" s="139">
        <v>127527</v>
      </c>
      <c r="C73" s="139">
        <v>53380</v>
      </c>
      <c r="D73" s="139">
        <v>74147</v>
      </c>
      <c r="E73" s="139">
        <v>80509</v>
      </c>
      <c r="F73" s="139">
        <v>208036</v>
      </c>
      <c r="G73" s="141"/>
      <c r="H73" s="141"/>
      <c r="I73" s="141"/>
      <c r="J73" s="141"/>
      <c r="K73" s="141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</row>
    <row r="74" spans="1:48" x14ac:dyDescent="0.15">
      <c r="A74" s="117">
        <v>1995</v>
      </c>
      <c r="B74" s="139">
        <v>142308</v>
      </c>
      <c r="C74" s="139">
        <v>66777</v>
      </c>
      <c r="D74" s="139">
        <v>75531</v>
      </c>
      <c r="E74" s="139">
        <v>76420</v>
      </c>
      <c r="F74" s="139">
        <v>218728</v>
      </c>
      <c r="G74" s="139">
        <v>2216</v>
      </c>
      <c r="H74" s="139">
        <v>1112</v>
      </c>
      <c r="I74" s="139">
        <v>1104</v>
      </c>
      <c r="J74" s="141">
        <v>586</v>
      </c>
      <c r="K74" s="139">
        <v>2802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</row>
    <row r="75" spans="1:48" x14ac:dyDescent="0.15">
      <c r="A75" s="117">
        <v>1996</v>
      </c>
      <c r="B75" s="139">
        <v>184400</v>
      </c>
      <c r="C75" s="139">
        <v>90148</v>
      </c>
      <c r="D75" s="139">
        <v>94252</v>
      </c>
      <c r="E75" s="139">
        <v>188385</v>
      </c>
      <c r="F75" s="139">
        <v>372785</v>
      </c>
      <c r="G75" s="139">
        <v>19158</v>
      </c>
      <c r="H75" s="139">
        <v>8919</v>
      </c>
      <c r="I75" s="139">
        <v>10239</v>
      </c>
      <c r="J75" s="139">
        <v>19442</v>
      </c>
      <c r="K75" s="139">
        <v>38600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</row>
    <row r="76" spans="1:48" x14ac:dyDescent="0.15">
      <c r="A76" s="117">
        <v>1997</v>
      </c>
      <c r="B76" s="139">
        <v>125657</v>
      </c>
      <c r="C76" s="139">
        <v>68197</v>
      </c>
      <c r="D76" s="139">
        <v>57460</v>
      </c>
      <c r="E76" s="139">
        <v>101258</v>
      </c>
      <c r="F76" s="139">
        <v>226915</v>
      </c>
      <c r="G76" s="139">
        <v>28738</v>
      </c>
      <c r="H76" s="139">
        <v>20819</v>
      </c>
      <c r="I76" s="139">
        <v>7919</v>
      </c>
      <c r="J76" s="139">
        <v>37520</v>
      </c>
      <c r="K76" s="139">
        <v>66258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</row>
    <row r="77" spans="1:48" x14ac:dyDescent="0.15">
      <c r="A77" s="117">
        <v>1998</v>
      </c>
      <c r="B77" s="139">
        <v>90459</v>
      </c>
      <c r="C77" s="139">
        <v>50486</v>
      </c>
      <c r="D77" s="139">
        <v>39973</v>
      </c>
      <c r="E77" s="139">
        <v>30989</v>
      </c>
      <c r="F77" s="139">
        <v>121448</v>
      </c>
      <c r="G77" s="139">
        <v>31442</v>
      </c>
      <c r="H77" s="139">
        <v>22911</v>
      </c>
      <c r="I77" s="139">
        <v>8531</v>
      </c>
      <c r="J77" s="139">
        <v>15941</v>
      </c>
      <c r="K77" s="139">
        <v>47383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</row>
    <row r="78" spans="1:48" x14ac:dyDescent="0.15">
      <c r="A78" s="117">
        <v>1999</v>
      </c>
      <c r="B78" s="139">
        <v>65879</v>
      </c>
      <c r="C78" s="139">
        <v>47202</v>
      </c>
      <c r="D78" s="139">
        <v>18677</v>
      </c>
      <c r="E78" s="139">
        <v>58765</v>
      </c>
      <c r="F78" s="139">
        <v>124644</v>
      </c>
      <c r="G78" s="139">
        <v>16165</v>
      </c>
      <c r="H78" s="139">
        <v>13877</v>
      </c>
      <c r="I78" s="139">
        <v>2288</v>
      </c>
      <c r="J78" s="139">
        <v>15224</v>
      </c>
      <c r="K78" s="139">
        <v>31389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</row>
    <row r="79" spans="1:48" x14ac:dyDescent="0.15">
      <c r="A79" s="117">
        <v>2000</v>
      </c>
      <c r="B79" s="139">
        <v>53145</v>
      </c>
      <c r="C79" s="139">
        <v>31535</v>
      </c>
      <c r="D79" s="139">
        <v>21610</v>
      </c>
      <c r="E79" s="139">
        <v>25359</v>
      </c>
      <c r="F79" s="139">
        <v>78504</v>
      </c>
      <c r="G79" s="139">
        <v>20779</v>
      </c>
      <c r="H79" s="139">
        <v>14971</v>
      </c>
      <c r="I79" s="139">
        <v>5808</v>
      </c>
      <c r="J79" s="139">
        <v>13255</v>
      </c>
      <c r="K79" s="139">
        <v>34034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</row>
    <row r="80" spans="1:48" x14ac:dyDescent="0.15">
      <c r="A80" s="117">
        <v>2001</v>
      </c>
      <c r="B80" s="139">
        <v>103755</v>
      </c>
      <c r="C80" s="139">
        <v>29341</v>
      </c>
      <c r="D80" s="139">
        <v>74414</v>
      </c>
      <c r="E80" s="139">
        <v>23500</v>
      </c>
      <c r="F80" s="139">
        <v>127255</v>
      </c>
      <c r="G80" s="139">
        <v>27783</v>
      </c>
      <c r="H80" s="139">
        <v>8985</v>
      </c>
      <c r="I80" s="139">
        <v>18798</v>
      </c>
      <c r="J80" s="139">
        <v>12968</v>
      </c>
      <c r="K80" s="139">
        <v>40751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</row>
    <row r="81" spans="1:48" x14ac:dyDescent="0.15">
      <c r="A81" s="117">
        <v>2002</v>
      </c>
      <c r="B81" s="139">
        <v>71253</v>
      </c>
      <c r="C81" s="139">
        <v>22607</v>
      </c>
      <c r="D81" s="139">
        <v>48646</v>
      </c>
      <c r="E81" s="139">
        <v>8076</v>
      </c>
      <c r="F81" s="139">
        <v>79329</v>
      </c>
      <c r="G81" s="139">
        <v>10078</v>
      </c>
      <c r="H81" s="139">
        <v>5925</v>
      </c>
      <c r="I81" s="139">
        <v>4153</v>
      </c>
      <c r="J81" s="139">
        <v>4058</v>
      </c>
      <c r="K81" s="139">
        <v>14136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</row>
    <row r="82" spans="1:48" x14ac:dyDescent="0.15">
      <c r="A82" s="117">
        <v>2003</v>
      </c>
      <c r="B82" s="139">
        <v>194425</v>
      </c>
      <c r="C82" s="139">
        <v>69571</v>
      </c>
      <c r="D82" s="139">
        <v>124854</v>
      </c>
      <c r="E82" s="139">
        <v>46552</v>
      </c>
      <c r="F82" s="139">
        <v>240977</v>
      </c>
      <c r="G82" s="139">
        <v>30814</v>
      </c>
      <c r="H82" s="139">
        <v>17465</v>
      </c>
      <c r="I82" s="139">
        <v>13349</v>
      </c>
      <c r="J82" s="139">
        <v>8760</v>
      </c>
      <c r="K82" s="139">
        <v>39574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</row>
    <row r="83" spans="1:48" x14ac:dyDescent="0.15">
      <c r="A83" s="117">
        <v>2004</v>
      </c>
      <c r="B83" s="139">
        <v>189395</v>
      </c>
      <c r="C83" s="139">
        <v>88451</v>
      </c>
      <c r="D83" s="139">
        <v>100944</v>
      </c>
      <c r="E83" s="139">
        <v>122592</v>
      </c>
      <c r="F83" s="139">
        <v>311987</v>
      </c>
      <c r="G83" s="139">
        <v>4909</v>
      </c>
      <c r="H83" s="139">
        <v>3645</v>
      </c>
      <c r="I83" s="139">
        <v>1264</v>
      </c>
      <c r="J83" s="139">
        <v>4257</v>
      </c>
      <c r="K83" s="139">
        <v>9166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</row>
    <row r="84" spans="1:48" x14ac:dyDescent="0.15">
      <c r="A84" s="117">
        <v>2005</v>
      </c>
      <c r="B84" s="139">
        <v>167570</v>
      </c>
      <c r="C84" s="139">
        <v>88089</v>
      </c>
      <c r="D84" s="139">
        <v>79482</v>
      </c>
      <c r="E84" s="139">
        <v>92362</v>
      </c>
      <c r="F84" s="139">
        <v>259932</v>
      </c>
      <c r="G84" s="139">
        <v>3325</v>
      </c>
      <c r="H84" s="139">
        <v>1677</v>
      </c>
      <c r="I84" s="139">
        <v>1648</v>
      </c>
      <c r="J84" s="141">
        <v>5</v>
      </c>
      <c r="K84" s="139">
        <v>3330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</row>
    <row r="85" spans="1:48" x14ac:dyDescent="0.15">
      <c r="A85" s="117">
        <v>2006</v>
      </c>
      <c r="B85" s="139">
        <v>193768</v>
      </c>
      <c r="C85" s="139">
        <v>102733</v>
      </c>
      <c r="D85" s="139">
        <v>91035</v>
      </c>
      <c r="E85" s="139">
        <v>74817</v>
      </c>
      <c r="F85" s="139">
        <v>268585</v>
      </c>
      <c r="G85" s="139">
        <v>27806</v>
      </c>
      <c r="H85" s="139">
        <v>17829</v>
      </c>
      <c r="I85" s="139">
        <v>9977</v>
      </c>
      <c r="J85" s="139">
        <v>10122</v>
      </c>
      <c r="K85" s="139">
        <v>37928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</row>
    <row r="86" spans="1:48" x14ac:dyDescent="0.15">
      <c r="A86" s="117">
        <v>2007</v>
      </c>
      <c r="B86" s="139">
        <v>110132</v>
      </c>
      <c r="C86" s="139">
        <v>61472</v>
      </c>
      <c r="D86" s="139">
        <v>48660</v>
      </c>
      <c r="E86" s="139">
        <v>86654</v>
      </c>
      <c r="F86" s="139">
        <v>196786</v>
      </c>
      <c r="G86" s="139">
        <v>18176</v>
      </c>
      <c r="H86" s="139">
        <v>11256</v>
      </c>
      <c r="I86" s="139">
        <v>6920</v>
      </c>
      <c r="J86" s="139">
        <v>18050</v>
      </c>
      <c r="K86" s="139">
        <v>36227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</row>
    <row r="87" spans="1:48" x14ac:dyDescent="0.15">
      <c r="A87" s="117">
        <v>2008</v>
      </c>
      <c r="B87" s="139">
        <v>74267</v>
      </c>
      <c r="C87" s="139">
        <v>37097</v>
      </c>
      <c r="D87" s="139">
        <v>37170</v>
      </c>
      <c r="E87" s="139">
        <v>45942</v>
      </c>
      <c r="F87" s="139">
        <v>120209</v>
      </c>
      <c r="G87" s="139">
        <v>24180</v>
      </c>
      <c r="H87" s="139">
        <v>13604</v>
      </c>
      <c r="I87" s="139">
        <v>10576</v>
      </c>
      <c r="J87" s="139">
        <v>17765</v>
      </c>
      <c r="K87" s="139">
        <v>41945</v>
      </c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</row>
    <row r="88" spans="1:48" x14ac:dyDescent="0.15">
      <c r="A88" s="117">
        <v>2009</v>
      </c>
      <c r="B88" s="139">
        <v>111780</v>
      </c>
      <c r="C88" s="139">
        <v>51082</v>
      </c>
      <c r="D88" s="139">
        <v>60699</v>
      </c>
      <c r="E88" s="139">
        <v>73495</v>
      </c>
      <c r="F88" s="139">
        <v>185275</v>
      </c>
      <c r="G88" s="139">
        <v>27271</v>
      </c>
      <c r="H88" s="139">
        <v>14044</v>
      </c>
      <c r="I88" s="139">
        <v>13226</v>
      </c>
      <c r="J88" s="139">
        <v>18527</v>
      </c>
      <c r="K88" s="139">
        <v>45798</v>
      </c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</row>
    <row r="89" spans="1:48" x14ac:dyDescent="0.15">
      <c r="A89" s="117">
        <v>2010</v>
      </c>
      <c r="B89" s="139">
        <v>116354</v>
      </c>
      <c r="C89" s="139">
        <v>55471</v>
      </c>
      <c r="D89" s="139">
        <v>60883</v>
      </c>
      <c r="E89" s="139">
        <v>40647</v>
      </c>
      <c r="F89" s="139">
        <v>157001</v>
      </c>
      <c r="G89" s="139">
        <v>33682</v>
      </c>
      <c r="H89" s="139">
        <v>20332</v>
      </c>
      <c r="I89" s="139">
        <v>13350</v>
      </c>
      <c r="J89" s="139">
        <v>12064</v>
      </c>
      <c r="K89" s="139">
        <v>45746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</row>
    <row r="90" spans="1:48" x14ac:dyDescent="0.15">
      <c r="A90" s="117">
        <v>2011</v>
      </c>
      <c r="B90" s="139">
        <v>139541</v>
      </c>
      <c r="C90" s="139">
        <v>61947</v>
      </c>
      <c r="D90" s="139">
        <v>77594</v>
      </c>
      <c r="E90" s="139">
        <v>73857</v>
      </c>
      <c r="F90" s="139">
        <v>213399</v>
      </c>
      <c r="G90" s="139">
        <v>28565</v>
      </c>
      <c r="H90" s="139">
        <v>14612</v>
      </c>
      <c r="I90" s="139">
        <v>13953</v>
      </c>
      <c r="J90" s="139">
        <v>17356</v>
      </c>
      <c r="K90" s="139">
        <v>45921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</row>
    <row r="91" spans="1:48" x14ac:dyDescent="0.15">
      <c r="A91" s="117">
        <v>2012</v>
      </c>
      <c r="B91" s="139">
        <v>95840</v>
      </c>
      <c r="C91" s="139">
        <v>34922</v>
      </c>
      <c r="D91" s="139">
        <v>60918</v>
      </c>
      <c r="E91" s="139">
        <v>28700</v>
      </c>
      <c r="F91" s="139">
        <v>124540</v>
      </c>
      <c r="G91" s="139">
        <v>25132</v>
      </c>
      <c r="H91" s="139">
        <v>11489</v>
      </c>
      <c r="I91" s="139">
        <v>13643</v>
      </c>
      <c r="J91" s="139">
        <v>8172</v>
      </c>
      <c r="K91" s="139">
        <v>33304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</row>
    <row r="92" spans="1:48" x14ac:dyDescent="0.15">
      <c r="A92" s="117">
        <v>2013</v>
      </c>
      <c r="B92" s="139">
        <v>84380</v>
      </c>
      <c r="C92" s="139">
        <v>36371</v>
      </c>
      <c r="D92" s="139">
        <v>48009</v>
      </c>
      <c r="E92" s="139">
        <v>29136</v>
      </c>
      <c r="F92" s="139">
        <v>113515</v>
      </c>
      <c r="G92" s="139">
        <v>13972</v>
      </c>
      <c r="H92" s="139">
        <v>8882</v>
      </c>
      <c r="I92" s="139">
        <v>5090</v>
      </c>
      <c r="J92" s="139">
        <v>5833</v>
      </c>
      <c r="K92" s="139">
        <v>19805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</row>
    <row r="93" spans="1:48" x14ac:dyDescent="0.15">
      <c r="A93" s="117">
        <v>2014</v>
      </c>
      <c r="B93" s="139">
        <v>122759</v>
      </c>
      <c r="C93" s="139">
        <v>44056</v>
      </c>
      <c r="D93" s="139">
        <v>78703</v>
      </c>
      <c r="E93" s="139">
        <v>23881</v>
      </c>
      <c r="F93" s="139">
        <v>146640</v>
      </c>
      <c r="G93" s="139">
        <v>31259</v>
      </c>
      <c r="H93" s="139">
        <v>11992</v>
      </c>
      <c r="I93" s="139">
        <v>19267</v>
      </c>
      <c r="J93" s="139">
        <v>4984</v>
      </c>
      <c r="K93" s="139">
        <v>36243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</row>
    <row r="94" spans="1:48" x14ac:dyDescent="0.15">
      <c r="A94" s="117">
        <v>2015</v>
      </c>
      <c r="B94" s="139">
        <v>142334</v>
      </c>
      <c r="C94" s="139">
        <v>61911</v>
      </c>
      <c r="D94" s="139">
        <v>80423</v>
      </c>
      <c r="E94" s="139">
        <v>31958</v>
      </c>
      <c r="F94" s="139">
        <v>174292</v>
      </c>
      <c r="G94" s="139">
        <v>39729</v>
      </c>
      <c r="H94" s="139">
        <v>18897</v>
      </c>
      <c r="I94" s="139">
        <v>20832</v>
      </c>
      <c r="J94" s="139">
        <v>9200</v>
      </c>
      <c r="K94" s="139">
        <v>48929</v>
      </c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</row>
    <row r="95" spans="1:48" x14ac:dyDescent="0.15">
      <c r="A95" s="117">
        <v>2016</v>
      </c>
      <c r="B95" s="139">
        <v>164451</v>
      </c>
      <c r="C95" s="139">
        <v>88649</v>
      </c>
      <c r="D95" s="139">
        <v>75802</v>
      </c>
      <c r="E95" s="139">
        <v>83441</v>
      </c>
      <c r="F95" s="139">
        <v>247892</v>
      </c>
      <c r="G95" s="139">
        <v>23709</v>
      </c>
      <c r="H95" s="139">
        <v>15011</v>
      </c>
      <c r="I95" s="139">
        <v>8698</v>
      </c>
      <c r="J95" s="139">
        <v>13199</v>
      </c>
      <c r="K95" s="139">
        <v>36908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</row>
    <row r="96" spans="1:48" x14ac:dyDescent="0.15">
      <c r="A96" s="117">
        <v>2017</v>
      </c>
      <c r="B96" s="139">
        <v>75159</v>
      </c>
      <c r="C96" s="139">
        <v>43657</v>
      </c>
      <c r="D96" s="139">
        <v>31502</v>
      </c>
      <c r="E96" s="139">
        <v>23609</v>
      </c>
      <c r="F96" s="139">
        <v>98768</v>
      </c>
      <c r="G96" s="139">
        <v>7412</v>
      </c>
      <c r="H96" s="139">
        <v>6829</v>
      </c>
      <c r="I96" s="141">
        <v>583</v>
      </c>
      <c r="J96" s="139">
        <v>1790</v>
      </c>
      <c r="K96" s="139">
        <v>9202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</row>
    <row r="97" spans="1:48" x14ac:dyDescent="0.15">
      <c r="A97" s="117">
        <v>2018</v>
      </c>
      <c r="B97" s="139">
        <v>53859</v>
      </c>
      <c r="C97" s="139">
        <v>24256</v>
      </c>
      <c r="D97" s="139">
        <v>29603</v>
      </c>
      <c r="E97" s="139">
        <v>8950</v>
      </c>
      <c r="F97" s="139">
        <v>62809</v>
      </c>
      <c r="G97" s="139">
        <v>1776</v>
      </c>
      <c r="H97" s="141">
        <v>683</v>
      </c>
      <c r="I97" s="139">
        <v>1094</v>
      </c>
      <c r="J97" s="141">
        <v>307</v>
      </c>
      <c r="K97" s="139">
        <v>2084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</row>
    <row r="98" spans="1:48" x14ac:dyDescent="0.15">
      <c r="A98" s="117">
        <v>2019</v>
      </c>
      <c r="B98" s="139">
        <v>76386</v>
      </c>
      <c r="C98" s="139">
        <v>16425</v>
      </c>
      <c r="D98" s="139">
        <v>59961</v>
      </c>
      <c r="E98" s="139">
        <v>12995</v>
      </c>
      <c r="F98" s="139">
        <v>89380</v>
      </c>
      <c r="G98" s="141">
        <v>0</v>
      </c>
      <c r="H98" s="141">
        <v>0</v>
      </c>
      <c r="I98" s="141">
        <v>0</v>
      </c>
      <c r="J98" s="141">
        <v>58</v>
      </c>
      <c r="K98" s="141">
        <v>58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</row>
    <row r="99" spans="1:48" x14ac:dyDescent="0.15">
      <c r="A99" s="117">
        <v>2020</v>
      </c>
      <c r="B99" s="139">
        <v>31653</v>
      </c>
      <c r="C99" s="139">
        <v>13369</v>
      </c>
      <c r="D99" s="139">
        <v>18284</v>
      </c>
      <c r="E99" s="139">
        <v>5931</v>
      </c>
      <c r="F99" s="139">
        <v>37584</v>
      </c>
      <c r="G99" s="151"/>
      <c r="H99" s="151"/>
      <c r="I99" s="151"/>
      <c r="J99" s="151"/>
      <c r="K99" s="151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</row>
    <row r="100" spans="1:48" x14ac:dyDescent="0.15">
      <c r="A100" s="117">
        <v>2021</v>
      </c>
      <c r="B100" s="149">
        <v>85668</v>
      </c>
      <c r="C100" s="139">
        <v>5105</v>
      </c>
      <c r="D100" s="139">
        <v>80563</v>
      </c>
      <c r="E100" s="139">
        <v>5405</v>
      </c>
      <c r="F100" s="139">
        <v>91072</v>
      </c>
      <c r="G100" s="151"/>
      <c r="H100" s="151"/>
      <c r="I100" s="151"/>
      <c r="J100" s="151"/>
      <c r="K100" s="151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</row>
    <row r="101" spans="1:48" x14ac:dyDescent="0.15">
      <c r="A101" s="117">
        <v>2022</v>
      </c>
      <c r="B101" s="149">
        <v>120159</v>
      </c>
      <c r="C101" s="139">
        <v>12428</v>
      </c>
      <c r="D101" s="139">
        <v>107731</v>
      </c>
      <c r="E101" s="139">
        <v>14064</v>
      </c>
      <c r="F101" s="139">
        <v>134223</v>
      </c>
      <c r="G101" s="151"/>
      <c r="H101" s="151"/>
      <c r="I101" s="151"/>
      <c r="J101" s="151"/>
      <c r="K101" s="151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</row>
    <row r="102" spans="1:48" x14ac:dyDescent="0.15">
      <c r="A102" s="117">
        <v>2023</v>
      </c>
      <c r="B102" s="149">
        <v>75328</v>
      </c>
      <c r="C102" s="139">
        <v>17688</v>
      </c>
      <c r="D102" s="139">
        <v>57640</v>
      </c>
      <c r="E102" s="139">
        <v>9829</v>
      </c>
      <c r="F102" s="139">
        <v>85157</v>
      </c>
      <c r="G102" s="151"/>
      <c r="H102" s="151"/>
      <c r="I102" s="151"/>
      <c r="J102" s="151"/>
      <c r="K102" s="151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</row>
    <row r="103" spans="1:48" x14ac:dyDescent="0.15">
      <c r="A103" s="118">
        <v>2024</v>
      </c>
      <c r="B103" s="150">
        <v>163903</v>
      </c>
      <c r="C103" s="142">
        <v>31017</v>
      </c>
      <c r="D103" s="142">
        <v>132886</v>
      </c>
      <c r="E103" s="142">
        <v>29035</v>
      </c>
      <c r="F103" s="142">
        <v>192938</v>
      </c>
      <c r="G103" s="152"/>
      <c r="H103" s="152"/>
      <c r="I103" s="152"/>
      <c r="J103" s="152"/>
      <c r="K103" s="152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</row>
    <row r="104" spans="1:48" x14ac:dyDescent="0.15">
      <c r="A104" s="200" t="s">
        <v>24</v>
      </c>
      <c r="B104" s="200"/>
      <c r="C104" s="141"/>
      <c r="D104" s="141"/>
      <c r="E104" s="141"/>
      <c r="F104" s="141"/>
      <c r="G104" s="141"/>
      <c r="H104" s="141"/>
      <c r="I104" s="141"/>
      <c r="J104" s="141"/>
      <c r="K104" s="141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</row>
    <row r="105" spans="1:48" x14ac:dyDescent="0.15">
      <c r="A105" s="117" t="s">
        <v>344</v>
      </c>
      <c r="B105" s="139">
        <v>105924</v>
      </c>
      <c r="C105" s="139">
        <v>40090</v>
      </c>
      <c r="D105" s="139">
        <v>65834</v>
      </c>
      <c r="E105" s="139">
        <v>42782</v>
      </c>
      <c r="F105" s="139">
        <v>148706</v>
      </c>
      <c r="G105" s="141"/>
      <c r="H105" s="141"/>
      <c r="I105" s="141"/>
      <c r="J105" s="141"/>
      <c r="K105" s="141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</row>
    <row r="106" spans="1:48" x14ac:dyDescent="0.15">
      <c r="A106" s="118" t="s">
        <v>302</v>
      </c>
      <c r="B106" s="142">
        <v>94775</v>
      </c>
      <c r="C106" s="142">
        <v>32754</v>
      </c>
      <c r="D106" s="142">
        <v>62021</v>
      </c>
      <c r="E106" s="142">
        <v>22006</v>
      </c>
      <c r="F106" s="142">
        <v>116782</v>
      </c>
      <c r="G106" s="143"/>
      <c r="H106" s="143"/>
      <c r="I106" s="143"/>
      <c r="J106" s="143"/>
      <c r="K106" s="143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</row>
  </sheetData>
  <mergeCells count="9">
    <mergeCell ref="A1:B1"/>
    <mergeCell ref="A2:B2"/>
    <mergeCell ref="A52:B52"/>
    <mergeCell ref="A104:B104"/>
    <mergeCell ref="B3:F3"/>
    <mergeCell ref="G3:K3"/>
    <mergeCell ref="L3:P3"/>
    <mergeCell ref="B55:F55"/>
    <mergeCell ref="G55:K55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37"/>
  <sheetViews>
    <sheetView workbookViewId="0">
      <selection activeCell="G40" sqref="G40"/>
    </sheetView>
  </sheetViews>
  <sheetFormatPr baseColWidth="10" defaultColWidth="9.1640625" defaultRowHeight="13" x14ac:dyDescent="0.15"/>
  <cols>
    <col min="1" max="1" width="9.1640625" style="2"/>
    <col min="2" max="2" width="11.6640625" style="2" bestFit="1" customWidth="1"/>
    <col min="3" max="3" width="9.1640625" style="2"/>
    <col min="4" max="4" width="12.33203125" style="2" customWidth="1"/>
    <col min="5" max="6" width="9.1640625" style="2"/>
    <col min="7" max="7" width="14.5" style="2" bestFit="1" customWidth="1"/>
    <col min="8" max="8" width="9.1640625" style="2"/>
    <col min="9" max="9" width="10.1640625" style="2" customWidth="1"/>
    <col min="10" max="11" width="9.1640625" style="2"/>
    <col min="12" max="12" width="11.6640625" style="2" bestFit="1" customWidth="1"/>
    <col min="13" max="13" width="9.1640625" style="2"/>
    <col min="14" max="14" width="10.83203125" style="2" customWidth="1"/>
    <col min="15" max="16384" width="9.1640625" style="2"/>
  </cols>
  <sheetData>
    <row r="1" spans="1:16" x14ac:dyDescent="0.15">
      <c r="A1" s="1" t="s">
        <v>277</v>
      </c>
    </row>
    <row r="2" spans="1:16" x14ac:dyDescent="0.15">
      <c r="B2" s="204" t="s">
        <v>36</v>
      </c>
      <c r="C2" s="205"/>
      <c r="D2" s="205"/>
      <c r="E2" s="205"/>
      <c r="F2" s="205"/>
      <c r="G2" s="204" t="s">
        <v>68</v>
      </c>
      <c r="H2" s="205"/>
      <c r="I2" s="205"/>
      <c r="J2" s="205"/>
      <c r="K2" s="205"/>
      <c r="L2" s="204" t="s">
        <v>32</v>
      </c>
      <c r="M2" s="205"/>
      <c r="N2" s="205"/>
      <c r="O2" s="205"/>
      <c r="P2" s="205"/>
    </row>
    <row r="3" spans="1:16" x14ac:dyDescent="0.15">
      <c r="B3" s="49" t="s">
        <v>59</v>
      </c>
      <c r="C3" s="2" t="s">
        <v>3</v>
      </c>
      <c r="D3" s="2" t="s">
        <v>60</v>
      </c>
      <c r="E3" s="2" t="s">
        <v>4</v>
      </c>
      <c r="F3" s="2" t="s">
        <v>5</v>
      </c>
      <c r="G3" s="49" t="s">
        <v>59</v>
      </c>
      <c r="H3" s="2" t="s">
        <v>3</v>
      </c>
      <c r="I3" s="2" t="s">
        <v>60</v>
      </c>
      <c r="J3" s="2" t="s">
        <v>4</v>
      </c>
      <c r="K3" s="2" t="s">
        <v>5</v>
      </c>
      <c r="L3" s="49" t="s">
        <v>59</v>
      </c>
      <c r="M3" s="2" t="s">
        <v>3</v>
      </c>
      <c r="N3" s="2" t="s">
        <v>60</v>
      </c>
      <c r="O3" s="2" t="s">
        <v>4</v>
      </c>
      <c r="P3" s="2" t="s">
        <v>5</v>
      </c>
    </row>
    <row r="4" spans="1:16" x14ac:dyDescent="0.15">
      <c r="A4" s="5" t="s">
        <v>10</v>
      </c>
      <c r="B4" s="47" t="s">
        <v>14</v>
      </c>
      <c r="C4" s="5" t="s">
        <v>64</v>
      </c>
      <c r="D4" s="5" t="s">
        <v>99</v>
      </c>
      <c r="E4" s="5" t="s">
        <v>64</v>
      </c>
      <c r="F4" s="5" t="s">
        <v>65</v>
      </c>
      <c r="G4" s="47" t="s">
        <v>14</v>
      </c>
      <c r="H4" s="5" t="s">
        <v>64</v>
      </c>
      <c r="I4" s="5" t="s">
        <v>99</v>
      </c>
      <c r="J4" s="5" t="s">
        <v>64</v>
      </c>
      <c r="K4" s="5" t="s">
        <v>65</v>
      </c>
      <c r="L4" s="47" t="s">
        <v>14</v>
      </c>
      <c r="M4" s="5" t="s">
        <v>64</v>
      </c>
      <c r="N4" s="5" t="s">
        <v>99</v>
      </c>
      <c r="O4" s="5" t="s">
        <v>64</v>
      </c>
      <c r="P4" s="5" t="s">
        <v>65</v>
      </c>
    </row>
    <row r="5" spans="1:16" x14ac:dyDescent="0.15">
      <c r="A5" s="2">
        <v>1994</v>
      </c>
      <c r="B5" s="6">
        <v>77238.7</v>
      </c>
      <c r="C5" s="6">
        <v>37727.699999999997</v>
      </c>
      <c r="D5" s="6">
        <v>39511</v>
      </c>
      <c r="E5" s="6">
        <v>65101</v>
      </c>
      <c r="F5" s="6">
        <v>142339.70000000001</v>
      </c>
      <c r="G5" s="6">
        <v>8767.4209171671337</v>
      </c>
      <c r="H5" s="6">
        <v>2018.4133063958154</v>
      </c>
      <c r="I5" s="6">
        <v>6749.0076107713176</v>
      </c>
      <c r="J5" s="6">
        <v>18305</v>
      </c>
      <c r="K5" s="6">
        <v>27072.420917167132</v>
      </c>
      <c r="L5" s="6">
        <v>68471.279082832858</v>
      </c>
      <c r="M5" s="6">
        <v>35709.286693604183</v>
      </c>
      <c r="N5" s="6">
        <v>32761.992389228682</v>
      </c>
      <c r="O5" s="6">
        <v>46793</v>
      </c>
      <c r="P5" s="6">
        <v>115264.27908283286</v>
      </c>
    </row>
    <row r="6" spans="1:16" x14ac:dyDescent="0.15">
      <c r="A6" s="2">
        <v>1995</v>
      </c>
      <c r="B6" s="6">
        <v>82289.5</v>
      </c>
      <c r="C6" s="6">
        <v>50712.5</v>
      </c>
      <c r="D6" s="6">
        <v>31577</v>
      </c>
      <c r="E6" s="6">
        <v>51665</v>
      </c>
      <c r="F6" s="6">
        <v>133954.5</v>
      </c>
      <c r="G6" s="6">
        <v>27677.17443298969</v>
      </c>
      <c r="H6" s="6">
        <v>15740.062230552952</v>
      </c>
      <c r="I6" s="6">
        <v>11937.11220243674</v>
      </c>
      <c r="J6" s="6">
        <v>27259</v>
      </c>
      <c r="K6" s="6">
        <v>54936.17443298969</v>
      </c>
      <c r="L6" s="6">
        <v>54612.32556701031</v>
      </c>
      <c r="M6" s="6">
        <v>34972.437769447046</v>
      </c>
      <c r="N6" s="6">
        <v>19639.88779756326</v>
      </c>
      <c r="O6" s="6">
        <v>24406</v>
      </c>
      <c r="P6" s="6">
        <v>79018.32556701031</v>
      </c>
    </row>
    <row r="7" spans="1:16" x14ac:dyDescent="0.15">
      <c r="A7" s="2">
        <v>1996</v>
      </c>
      <c r="B7" s="6">
        <v>95706</v>
      </c>
      <c r="C7" s="6">
        <v>57545</v>
      </c>
      <c r="D7" s="6">
        <v>38161</v>
      </c>
      <c r="E7" s="6">
        <v>147435</v>
      </c>
      <c r="F7" s="6">
        <v>243141</v>
      </c>
      <c r="G7" s="6">
        <v>11608.034390829111</v>
      </c>
      <c r="H7" s="6">
        <v>7158.8002310494976</v>
      </c>
      <c r="I7" s="6">
        <v>4449.2341597796139</v>
      </c>
      <c r="J7" s="6">
        <v>16568</v>
      </c>
      <c r="K7" s="6">
        <v>28176.034390829111</v>
      </c>
      <c r="L7" s="6">
        <v>84097.965609170889</v>
      </c>
      <c r="M7" s="6">
        <v>50386.199768950501</v>
      </c>
      <c r="N7" s="6">
        <v>33711.765840220389</v>
      </c>
      <c r="O7" s="6">
        <v>130867</v>
      </c>
      <c r="P7" s="6">
        <v>214964.9656091709</v>
      </c>
    </row>
    <row r="8" spans="1:16" x14ac:dyDescent="0.15">
      <c r="A8" s="2">
        <v>1997</v>
      </c>
      <c r="B8" s="6">
        <v>37319</v>
      </c>
      <c r="C8" s="6">
        <v>25214</v>
      </c>
      <c r="D8" s="6">
        <v>12105</v>
      </c>
      <c r="E8" s="6">
        <v>43408</v>
      </c>
      <c r="F8" s="6">
        <v>80727</v>
      </c>
      <c r="G8" s="6">
        <v>7560.4296198144939</v>
      </c>
      <c r="H8" s="6">
        <v>5115</v>
      </c>
      <c r="I8" s="6">
        <v>2445.4296198144939</v>
      </c>
      <c r="J8" s="6">
        <v>12983</v>
      </c>
      <c r="K8" s="6">
        <v>20543.429619814495</v>
      </c>
      <c r="L8" s="6">
        <v>29758.570380185505</v>
      </c>
      <c r="M8" s="6">
        <v>20099</v>
      </c>
      <c r="N8" s="6">
        <v>9659.5703801855052</v>
      </c>
      <c r="O8" s="6">
        <v>30425</v>
      </c>
      <c r="P8" s="6">
        <v>60183.570380185505</v>
      </c>
    </row>
    <row r="9" spans="1:16" x14ac:dyDescent="0.15">
      <c r="A9" s="2">
        <v>1998</v>
      </c>
      <c r="B9" s="6">
        <v>27941</v>
      </c>
      <c r="C9" s="6">
        <v>15673</v>
      </c>
      <c r="D9" s="6">
        <v>12268</v>
      </c>
      <c r="E9" s="6">
        <v>7086</v>
      </c>
      <c r="F9" s="6">
        <v>35027</v>
      </c>
      <c r="G9" s="6">
        <v>1620</v>
      </c>
      <c r="H9" s="6">
        <v>929</v>
      </c>
      <c r="I9" s="6">
        <v>691</v>
      </c>
      <c r="J9" s="6">
        <v>428</v>
      </c>
      <c r="K9" s="6">
        <v>2048</v>
      </c>
      <c r="L9" s="6">
        <v>26321</v>
      </c>
      <c r="M9" s="6">
        <v>14744</v>
      </c>
      <c r="N9" s="6">
        <v>11577</v>
      </c>
      <c r="O9" s="6">
        <v>6658</v>
      </c>
      <c r="P9" s="6">
        <v>32979</v>
      </c>
    </row>
    <row r="10" spans="1:16" x14ac:dyDescent="0.15">
      <c r="A10" s="2">
        <v>1999</v>
      </c>
      <c r="B10" s="6">
        <v>35918</v>
      </c>
      <c r="C10" s="6">
        <v>25599</v>
      </c>
      <c r="D10" s="6">
        <v>10319</v>
      </c>
      <c r="E10" s="6">
        <v>23449.206857433521</v>
      </c>
      <c r="F10" s="6">
        <v>59367.206857433521</v>
      </c>
      <c r="G10" s="6">
        <v>1666</v>
      </c>
      <c r="H10" s="6">
        <v>976</v>
      </c>
      <c r="I10" s="6">
        <v>690</v>
      </c>
      <c r="J10" s="6">
        <v>1300.0851851259104</v>
      </c>
      <c r="K10" s="6">
        <v>2966.0851851259104</v>
      </c>
      <c r="L10" s="6">
        <v>34252</v>
      </c>
      <c r="M10" s="6">
        <v>24623</v>
      </c>
      <c r="N10" s="6">
        <v>9629</v>
      </c>
      <c r="O10" s="6">
        <v>22149.121672307607</v>
      </c>
      <c r="P10" s="6">
        <v>56401.121672307607</v>
      </c>
    </row>
    <row r="11" spans="1:16" x14ac:dyDescent="0.15">
      <c r="A11" s="2">
        <v>2000</v>
      </c>
      <c r="B11" s="6">
        <v>13802.806228373702</v>
      </c>
      <c r="C11" s="6">
        <v>8132.8062283737027</v>
      </c>
      <c r="D11" s="6">
        <v>5670</v>
      </c>
      <c r="E11" s="6">
        <v>5340</v>
      </c>
      <c r="F11" s="6">
        <v>19142.806228373702</v>
      </c>
      <c r="G11" s="6">
        <v>2177</v>
      </c>
      <c r="H11" s="6">
        <v>1029</v>
      </c>
      <c r="I11" s="6">
        <v>1148</v>
      </c>
      <c r="J11" s="6">
        <v>1051</v>
      </c>
      <c r="K11" s="6">
        <v>3228</v>
      </c>
      <c r="L11" s="6">
        <v>11625.806228373702</v>
      </c>
      <c r="M11" s="6">
        <v>7103.8062283737027</v>
      </c>
      <c r="N11" s="6">
        <v>4522</v>
      </c>
      <c r="O11" s="6">
        <v>4289</v>
      </c>
      <c r="P11" s="6">
        <v>15914.806228373702</v>
      </c>
    </row>
    <row r="12" spans="1:16" x14ac:dyDescent="0.15">
      <c r="A12" s="2">
        <v>2001</v>
      </c>
      <c r="B12" s="6">
        <v>20984.799544538189</v>
      </c>
      <c r="C12" s="6">
        <v>6223.7995445381912</v>
      </c>
      <c r="D12" s="6">
        <v>14761</v>
      </c>
      <c r="E12" s="6">
        <v>6339</v>
      </c>
      <c r="F12" s="6">
        <v>27323.799544538189</v>
      </c>
      <c r="G12" s="6">
        <v>7027</v>
      </c>
      <c r="H12" s="6">
        <v>1182</v>
      </c>
      <c r="I12" s="6">
        <v>5845</v>
      </c>
      <c r="J12" s="6">
        <v>1592</v>
      </c>
      <c r="K12" s="6">
        <v>8619</v>
      </c>
      <c r="L12" s="6">
        <v>13957.799544538191</v>
      </c>
      <c r="M12" s="6">
        <v>5041.7995445381912</v>
      </c>
      <c r="N12" s="6">
        <v>8916</v>
      </c>
      <c r="O12" s="6">
        <v>4747</v>
      </c>
      <c r="P12" s="6">
        <v>18704.799544538189</v>
      </c>
    </row>
    <row r="13" spans="1:16" x14ac:dyDescent="0.15">
      <c r="A13" s="2">
        <v>2002</v>
      </c>
      <c r="B13" s="6">
        <v>25680</v>
      </c>
      <c r="C13" s="6">
        <v>8340</v>
      </c>
      <c r="D13" s="6">
        <v>17340</v>
      </c>
      <c r="E13" s="6">
        <v>2055</v>
      </c>
      <c r="F13" s="6">
        <v>27735</v>
      </c>
      <c r="G13" s="6">
        <v>7037</v>
      </c>
      <c r="H13" s="6">
        <v>1940</v>
      </c>
      <c r="I13" s="6">
        <v>5097</v>
      </c>
      <c r="J13" s="6">
        <v>680</v>
      </c>
      <c r="K13" s="6">
        <v>7717</v>
      </c>
      <c r="L13" s="6">
        <v>18643</v>
      </c>
      <c r="M13" s="6">
        <v>6400</v>
      </c>
      <c r="N13" s="6">
        <v>12243</v>
      </c>
      <c r="O13" s="6">
        <v>1374.9999999999998</v>
      </c>
      <c r="P13" s="6">
        <v>20018</v>
      </c>
    </row>
    <row r="14" spans="1:16" x14ac:dyDescent="0.15">
      <c r="A14" s="2">
        <v>2003</v>
      </c>
      <c r="B14" s="6">
        <v>81808</v>
      </c>
      <c r="C14" s="6">
        <v>28275</v>
      </c>
      <c r="D14" s="6">
        <v>53533</v>
      </c>
      <c r="E14" s="6">
        <v>16298</v>
      </c>
      <c r="F14" s="6">
        <v>98106</v>
      </c>
      <c r="G14" s="6">
        <v>32157</v>
      </c>
      <c r="H14" s="6">
        <v>8737</v>
      </c>
      <c r="I14" s="6">
        <v>23420</v>
      </c>
      <c r="J14" s="6">
        <v>7852</v>
      </c>
      <c r="K14" s="6">
        <v>40009</v>
      </c>
      <c r="L14" s="6">
        <v>49651</v>
      </c>
      <c r="M14" s="6">
        <v>19538</v>
      </c>
      <c r="N14" s="6">
        <v>30113</v>
      </c>
      <c r="O14" s="6">
        <v>8446</v>
      </c>
      <c r="P14" s="6">
        <v>58097</v>
      </c>
    </row>
    <row r="15" spans="1:16" x14ac:dyDescent="0.15">
      <c r="A15" s="2">
        <v>2004</v>
      </c>
      <c r="B15" s="6">
        <v>125677.4487004245</v>
      </c>
      <c r="C15" s="6">
        <v>62725.448700424502</v>
      </c>
      <c r="D15" s="6">
        <v>62952</v>
      </c>
      <c r="E15" s="6">
        <v>91535.248335298791</v>
      </c>
      <c r="F15" s="6">
        <v>217212.69703572331</v>
      </c>
      <c r="G15" s="6">
        <v>56627</v>
      </c>
      <c r="H15" s="6">
        <v>25383</v>
      </c>
      <c r="I15" s="6">
        <v>31244</v>
      </c>
      <c r="J15" s="6">
        <v>37444.050932152044</v>
      </c>
      <c r="K15" s="6">
        <v>94071.050932152051</v>
      </c>
      <c r="L15" s="6">
        <v>69050.448700424502</v>
      </c>
      <c r="M15" s="6">
        <v>37342.448700424502</v>
      </c>
      <c r="N15" s="6">
        <v>31708</v>
      </c>
      <c r="O15" s="6">
        <v>54091.197403146747</v>
      </c>
      <c r="P15" s="6">
        <v>123141.64610357126</v>
      </c>
    </row>
    <row r="16" spans="1:16" x14ac:dyDescent="0.15">
      <c r="A16" s="2">
        <v>2005</v>
      </c>
      <c r="B16" s="6">
        <v>110902.72750515657</v>
      </c>
      <c r="C16" s="6">
        <v>67856.727505156567</v>
      </c>
      <c r="D16" s="6">
        <v>43046</v>
      </c>
      <c r="E16" s="6">
        <v>63713.780490116893</v>
      </c>
      <c r="F16" s="6">
        <v>174616.50799527345</v>
      </c>
      <c r="G16" s="6">
        <v>47828</v>
      </c>
      <c r="H16" s="6">
        <v>30057.999999999996</v>
      </c>
      <c r="I16" s="6">
        <v>17770</v>
      </c>
      <c r="J16" s="6">
        <v>36047.181280342855</v>
      </c>
      <c r="K16" s="6">
        <v>83875.181280342862</v>
      </c>
      <c r="L16" s="6">
        <v>63074.727505156574</v>
      </c>
      <c r="M16" s="6">
        <v>37798.727505156574</v>
      </c>
      <c r="N16" s="6">
        <v>25276</v>
      </c>
      <c r="O16" s="6">
        <v>27666.599209774038</v>
      </c>
      <c r="P16" s="6">
        <v>90741.326714930619</v>
      </c>
    </row>
    <row r="17" spans="1:16" x14ac:dyDescent="0.15">
      <c r="A17" s="2">
        <v>2006</v>
      </c>
      <c r="B17" s="6">
        <v>130174.29312065248</v>
      </c>
      <c r="C17" s="6">
        <v>76719.293120652481</v>
      </c>
      <c r="D17" s="6">
        <v>53455</v>
      </c>
      <c r="E17" s="6">
        <v>54923.003534346673</v>
      </c>
      <c r="F17" s="6">
        <v>185097.29665499914</v>
      </c>
      <c r="G17" s="6">
        <v>68202</v>
      </c>
      <c r="H17" s="6">
        <v>42430</v>
      </c>
      <c r="I17" s="6">
        <v>25772</v>
      </c>
      <c r="J17" s="6">
        <v>30768.015913515155</v>
      </c>
      <c r="K17" s="6">
        <v>98970.015913515148</v>
      </c>
      <c r="L17" s="6">
        <v>61972.293120652488</v>
      </c>
      <c r="M17" s="6">
        <v>34289.293120652488</v>
      </c>
      <c r="N17" s="6">
        <v>27683</v>
      </c>
      <c r="O17" s="6">
        <v>24154.987620831518</v>
      </c>
      <c r="P17" s="6">
        <v>86127.280741484006</v>
      </c>
    </row>
    <row r="18" spans="1:16" x14ac:dyDescent="0.15">
      <c r="A18" s="2">
        <v>2007</v>
      </c>
      <c r="B18" s="6">
        <v>59537</v>
      </c>
      <c r="C18" s="6">
        <v>38663</v>
      </c>
      <c r="D18" s="6">
        <v>20874</v>
      </c>
      <c r="E18" s="6">
        <v>63329.905891775321</v>
      </c>
      <c r="F18" s="6">
        <v>122866.90589177533</v>
      </c>
      <c r="G18" s="6">
        <v>28080</v>
      </c>
      <c r="H18" s="6">
        <v>19199</v>
      </c>
      <c r="I18" s="6">
        <v>8881</v>
      </c>
      <c r="J18" s="6">
        <v>41439.618547824481</v>
      </c>
      <c r="K18" s="6">
        <v>69519.618547824473</v>
      </c>
      <c r="L18" s="6">
        <v>31457</v>
      </c>
      <c r="M18" s="6">
        <v>19464</v>
      </c>
      <c r="N18" s="6">
        <v>11993</v>
      </c>
      <c r="O18" s="6">
        <v>21890.28734395084</v>
      </c>
      <c r="P18" s="6">
        <v>53347.28734395084</v>
      </c>
    </row>
    <row r="19" spans="1:16" x14ac:dyDescent="0.15">
      <c r="A19" s="2">
        <v>2008</v>
      </c>
      <c r="B19" s="6">
        <v>28592.441027487552</v>
      </c>
      <c r="C19" s="6">
        <v>18176.441027487552</v>
      </c>
      <c r="D19" s="6">
        <v>10416</v>
      </c>
      <c r="E19" s="6">
        <v>17742.778132357398</v>
      </c>
      <c r="F19" s="6">
        <v>46335.21915984495</v>
      </c>
      <c r="G19" s="6">
        <v>12926.618052094524</v>
      </c>
      <c r="H19" s="6">
        <v>7632.1140520945219</v>
      </c>
      <c r="I19" s="6">
        <v>5294.5040000000008</v>
      </c>
      <c r="J19" s="6">
        <v>8219.0071006087601</v>
      </c>
      <c r="K19" s="6">
        <v>21145.625152703284</v>
      </c>
      <c r="L19" s="6">
        <v>15665.822975393026</v>
      </c>
      <c r="M19" s="6">
        <v>10544.326975393027</v>
      </c>
      <c r="N19" s="6">
        <v>5121.4959999999992</v>
      </c>
      <c r="O19" s="6">
        <v>9523.7710317486362</v>
      </c>
      <c r="P19" s="6">
        <v>25189.594007141663</v>
      </c>
    </row>
    <row r="20" spans="1:16" x14ac:dyDescent="0.15">
      <c r="A20" s="2">
        <v>2009</v>
      </c>
      <c r="B20" s="6">
        <v>60427.943462083895</v>
      </c>
      <c r="C20" s="6">
        <v>30103.943462083895</v>
      </c>
      <c r="D20" s="6">
        <v>30324</v>
      </c>
      <c r="E20" s="6">
        <v>37663.807874047736</v>
      </c>
      <c r="F20" s="6">
        <v>98091.751336131623</v>
      </c>
      <c r="G20" s="6">
        <v>12488.74411252473</v>
      </c>
      <c r="H20" s="6">
        <v>7517.7441125247296</v>
      </c>
      <c r="I20" s="6">
        <v>4971</v>
      </c>
      <c r="J20" s="6">
        <v>10714.087639562516</v>
      </c>
      <c r="K20" s="6">
        <v>23202.831752087244</v>
      </c>
      <c r="L20" s="6">
        <v>47939.166993562299</v>
      </c>
      <c r="M20" s="6">
        <v>22586.166993562299</v>
      </c>
      <c r="N20" s="6">
        <v>25353</v>
      </c>
      <c r="O20" s="6">
        <v>26949.720234485212</v>
      </c>
      <c r="P20" s="6">
        <v>74888.887228047504</v>
      </c>
    </row>
    <row r="21" spans="1:16" x14ac:dyDescent="0.15">
      <c r="A21" s="2">
        <v>2010</v>
      </c>
      <c r="B21" s="6">
        <v>48520.770896562215</v>
      </c>
      <c r="C21" s="6">
        <v>25818.770896562211</v>
      </c>
      <c r="D21" s="6">
        <v>22702</v>
      </c>
      <c r="E21" s="6">
        <v>17564.924375684179</v>
      </c>
      <c r="F21" s="6">
        <v>66085.69527224639</v>
      </c>
      <c r="G21" s="6">
        <v>17352.752859494747</v>
      </c>
      <c r="H21" s="6">
        <v>7756.7528594947471</v>
      </c>
      <c r="I21" s="6">
        <v>9596</v>
      </c>
      <c r="J21" s="6">
        <v>6989.504380048751</v>
      </c>
      <c r="K21" s="6">
        <v>24342.257239543498</v>
      </c>
      <c r="L21" s="6">
        <v>31168.018037067468</v>
      </c>
      <c r="M21" s="6">
        <v>18062.018037067468</v>
      </c>
      <c r="N21" s="6">
        <v>13106</v>
      </c>
      <c r="O21" s="6">
        <v>10575.41999563543</v>
      </c>
      <c r="P21" s="6">
        <v>41743.438032702899</v>
      </c>
    </row>
    <row r="22" spans="1:16" x14ac:dyDescent="0.15">
      <c r="A22" s="2">
        <v>2011</v>
      </c>
      <c r="B22" s="6">
        <v>65226.219823018168</v>
      </c>
      <c r="C22" s="6">
        <v>30978.219823018164</v>
      </c>
      <c r="D22" s="6">
        <v>34248</v>
      </c>
      <c r="E22" s="6">
        <v>37480.035931759296</v>
      </c>
      <c r="F22" s="6">
        <v>102706.25575477746</v>
      </c>
      <c r="G22" s="6">
        <v>23546.636005752593</v>
      </c>
      <c r="H22" s="6">
        <v>11529.636005752593</v>
      </c>
      <c r="I22" s="6">
        <v>12017</v>
      </c>
      <c r="J22" s="6">
        <v>17591.708095109192</v>
      </c>
      <c r="K22" s="6">
        <v>41138.344100861781</v>
      </c>
      <c r="L22" s="6">
        <v>41679.583817265571</v>
      </c>
      <c r="M22" s="6">
        <v>19448.583817265571</v>
      </c>
      <c r="N22" s="6">
        <v>22231</v>
      </c>
      <c r="O22" s="6">
        <v>19888.327836650104</v>
      </c>
      <c r="P22" s="6">
        <v>61567.911653915675</v>
      </c>
    </row>
    <row r="23" spans="1:16" x14ac:dyDescent="0.15">
      <c r="A23" s="2">
        <v>2012</v>
      </c>
      <c r="B23" s="6">
        <v>23549.617378480867</v>
      </c>
      <c r="C23" s="6">
        <v>10086.617378480867</v>
      </c>
      <c r="D23" s="6">
        <v>13463</v>
      </c>
      <c r="E23" s="6">
        <v>6188.3456713764153</v>
      </c>
      <c r="F23" s="6">
        <v>29737.963049857281</v>
      </c>
      <c r="G23" s="6">
        <v>9403.5230370030113</v>
      </c>
      <c r="H23" s="6">
        <v>3639.5230370030117</v>
      </c>
      <c r="I23" s="6">
        <v>5764</v>
      </c>
      <c r="J23" s="6">
        <v>2336.9102036839254</v>
      </c>
      <c r="K23" s="6">
        <v>11740.433240686936</v>
      </c>
      <c r="L23" s="6">
        <v>14146.094341477856</v>
      </c>
      <c r="M23" s="6">
        <v>6447.0943414778558</v>
      </c>
      <c r="N23" s="6">
        <v>7699</v>
      </c>
      <c r="O23" s="6">
        <v>3851.4354676924904</v>
      </c>
      <c r="P23" s="6">
        <v>17997.529809170344</v>
      </c>
    </row>
    <row r="24" spans="1:16" x14ac:dyDescent="0.15">
      <c r="A24" s="2">
        <v>2013</v>
      </c>
      <c r="B24" s="6">
        <v>29172.541575980278</v>
      </c>
      <c r="C24" s="6">
        <v>13344.54157598028</v>
      </c>
      <c r="D24" s="6">
        <v>15828</v>
      </c>
      <c r="E24" s="6">
        <v>7618.0909012743832</v>
      </c>
      <c r="F24" s="6">
        <v>36790.632477254665</v>
      </c>
      <c r="G24" s="6">
        <v>13434.661994907796</v>
      </c>
      <c r="H24" s="6">
        <v>5409.153994907796</v>
      </c>
      <c r="I24" s="6">
        <v>8025.5079999999998</v>
      </c>
      <c r="J24" s="6">
        <v>3723.3470488755893</v>
      </c>
      <c r="K24" s="6">
        <v>17158.009043783386</v>
      </c>
      <c r="L24" s="6">
        <v>15737.879581072484</v>
      </c>
      <c r="M24" s="6">
        <v>7935.3875810724849</v>
      </c>
      <c r="N24" s="6">
        <v>7802.4920000000002</v>
      </c>
      <c r="O24" s="6">
        <v>3894.743852398793</v>
      </c>
      <c r="P24" s="6">
        <v>19632.623433471279</v>
      </c>
    </row>
    <row r="25" spans="1:16" x14ac:dyDescent="0.15">
      <c r="A25" s="2">
        <v>2014</v>
      </c>
      <c r="B25" s="6">
        <v>64178.811581959897</v>
      </c>
      <c r="C25" s="6">
        <v>24433.811581959897</v>
      </c>
      <c r="D25" s="6">
        <v>39745</v>
      </c>
      <c r="E25" s="6">
        <v>10532.964205633294</v>
      </c>
      <c r="F25" s="6">
        <v>74711.775787593186</v>
      </c>
      <c r="G25" s="6">
        <v>30099.814829554325</v>
      </c>
      <c r="H25" s="6">
        <v>11101.707829554329</v>
      </c>
      <c r="I25" s="6">
        <v>18998.106999999996</v>
      </c>
      <c r="J25" s="6">
        <v>5417.9114764352498</v>
      </c>
      <c r="K25" s="6">
        <v>35517.726305989578</v>
      </c>
      <c r="L25" s="6">
        <v>34078.996752385574</v>
      </c>
      <c r="M25" s="6">
        <v>13332.103752385574</v>
      </c>
      <c r="N25" s="6">
        <v>20746.893000000004</v>
      </c>
      <c r="O25" s="6">
        <v>5115.0527291980434</v>
      </c>
      <c r="P25" s="6">
        <v>39194.049481583614</v>
      </c>
    </row>
    <row r="26" spans="1:16" x14ac:dyDescent="0.15">
      <c r="A26" s="2">
        <v>2015</v>
      </c>
      <c r="B26" s="6">
        <v>61944.206319819772</v>
      </c>
      <c r="C26" s="6">
        <v>28785.206319819772</v>
      </c>
      <c r="D26" s="6">
        <v>33159</v>
      </c>
      <c r="E26" s="6">
        <v>12207.087939123056</v>
      </c>
      <c r="F26" s="6">
        <v>74151.294258942828</v>
      </c>
      <c r="G26" s="6">
        <v>26399.119578739908</v>
      </c>
      <c r="H26" s="6">
        <v>10195.477261359541</v>
      </c>
      <c r="I26" s="6">
        <v>16203.642317380367</v>
      </c>
      <c r="J26" s="6">
        <v>5165.3658521901061</v>
      </c>
      <c r="K26" s="6">
        <v>31564.485430930014</v>
      </c>
      <c r="L26" s="6">
        <v>35545.086741079867</v>
      </c>
      <c r="M26" s="6">
        <v>18589.729058460231</v>
      </c>
      <c r="N26" s="6">
        <v>16955.357682619633</v>
      </c>
      <c r="O26" s="6">
        <v>7041.7220869329503</v>
      </c>
      <c r="P26" s="6">
        <v>42586.808828012814</v>
      </c>
    </row>
    <row r="27" spans="1:16" x14ac:dyDescent="0.15">
      <c r="A27" s="2">
        <v>2016</v>
      </c>
      <c r="B27" s="6">
        <v>100431.19439499341</v>
      </c>
      <c r="C27" s="6">
        <v>61973.194394993407</v>
      </c>
      <c r="D27" s="6">
        <v>38458</v>
      </c>
      <c r="E27" s="6">
        <v>54900.091140587523</v>
      </c>
      <c r="F27" s="6">
        <v>155331.28553558094</v>
      </c>
      <c r="G27" s="6">
        <v>33231.523221949305</v>
      </c>
      <c r="H27" s="6">
        <v>18314.073221949307</v>
      </c>
      <c r="I27" s="6">
        <v>14917.45</v>
      </c>
      <c r="J27" s="6">
        <v>18189.269339598806</v>
      </c>
      <c r="K27" s="6">
        <v>51420.792561548107</v>
      </c>
      <c r="L27" s="6">
        <v>67202.671173044102</v>
      </c>
      <c r="M27" s="6">
        <v>43659.121173044106</v>
      </c>
      <c r="N27" s="6">
        <v>23543.55</v>
      </c>
      <c r="O27" s="6">
        <v>36710.821800988713</v>
      </c>
      <c r="P27" s="6">
        <v>103913.49297403282</v>
      </c>
    </row>
    <row r="28" spans="1:16" x14ac:dyDescent="0.15">
      <c r="A28" s="2">
        <v>2017</v>
      </c>
      <c r="B28" s="6">
        <v>48648.836585988451</v>
      </c>
      <c r="C28" s="6">
        <v>29407.836585988454</v>
      </c>
      <c r="D28" s="6">
        <v>19241</v>
      </c>
      <c r="E28" s="6">
        <v>14697.762408620341</v>
      </c>
      <c r="F28" s="6">
        <v>63346.598994608794</v>
      </c>
      <c r="G28" s="6">
        <v>20214.177456374829</v>
      </c>
      <c r="H28" s="6">
        <v>10170.37545637483</v>
      </c>
      <c r="I28" s="6">
        <v>10043.802</v>
      </c>
      <c r="J28" s="6">
        <v>5311.337335590013</v>
      </c>
      <c r="K28" s="6">
        <v>25525.514791964844</v>
      </c>
      <c r="L28" s="6">
        <v>28434.659129613628</v>
      </c>
      <c r="M28" s="6">
        <v>19237.461129613628</v>
      </c>
      <c r="N28" s="6">
        <v>9197.1980000000003</v>
      </c>
      <c r="O28" s="6">
        <v>9386.4250730303283</v>
      </c>
      <c r="P28" s="6">
        <v>37821.084202643957</v>
      </c>
    </row>
    <row r="29" spans="1:16" x14ac:dyDescent="0.15">
      <c r="A29" s="2">
        <v>2018</v>
      </c>
      <c r="B29" s="6">
        <v>34337.693262678571</v>
      </c>
      <c r="C29" s="6">
        <v>17987.693262678567</v>
      </c>
      <c r="D29" s="6">
        <v>16350</v>
      </c>
      <c r="E29" s="6">
        <v>4326.7095112622264</v>
      </c>
      <c r="F29" s="6">
        <v>38664.402773940797</v>
      </c>
      <c r="G29" s="6">
        <v>16861.978142118718</v>
      </c>
      <c r="H29" s="6">
        <v>8715.6061066534312</v>
      </c>
      <c r="I29" s="6">
        <v>8146.3720354652878</v>
      </c>
      <c r="J29" s="6">
        <v>2228.3956498471598</v>
      </c>
      <c r="K29" s="6">
        <v>19090.373791965878</v>
      </c>
      <c r="L29" s="6">
        <v>17475.715120559846</v>
      </c>
      <c r="M29" s="6">
        <v>9272.0871560251344</v>
      </c>
      <c r="N29" s="6">
        <v>8203.6279645347113</v>
      </c>
      <c r="O29" s="6">
        <v>2098.3138614150662</v>
      </c>
      <c r="P29" s="6">
        <v>19574.028981974912</v>
      </c>
    </row>
    <row r="30" spans="1:16" x14ac:dyDescent="0.15">
      <c r="A30" s="2">
        <v>2019</v>
      </c>
      <c r="B30" s="6">
        <v>50844.520722389956</v>
      </c>
      <c r="C30" s="6">
        <v>14057.520722389958</v>
      </c>
      <c r="D30" s="6">
        <v>36787</v>
      </c>
      <c r="E30" s="6">
        <v>7783.6115281579368</v>
      </c>
      <c r="F30" s="6">
        <v>58628.132250547889</v>
      </c>
      <c r="G30" s="6">
        <v>28203.30667013365</v>
      </c>
      <c r="H30" s="6">
        <v>7882.8685748955495</v>
      </c>
      <c r="I30" s="6">
        <v>20320.4380952381</v>
      </c>
      <c r="J30" s="6">
        <v>3724.2392828237644</v>
      </c>
      <c r="K30" s="6">
        <v>31927.545952957415</v>
      </c>
      <c r="L30" s="6">
        <v>22641.214052256313</v>
      </c>
      <c r="M30" s="6">
        <v>6174.6521474944075</v>
      </c>
      <c r="N30" s="6">
        <v>16466.561904761904</v>
      </c>
      <c r="O30" s="6">
        <v>4059.3722453341725</v>
      </c>
      <c r="P30" s="6">
        <v>26700.586297590486</v>
      </c>
    </row>
    <row r="31" spans="1:16" x14ac:dyDescent="0.15">
      <c r="A31" s="2">
        <v>2020</v>
      </c>
      <c r="B31" s="6">
        <v>22336.475656906499</v>
      </c>
      <c r="C31" s="6">
        <v>11178.475656906499</v>
      </c>
      <c r="D31" s="6">
        <v>11158</v>
      </c>
      <c r="E31" s="6">
        <v>4121.9064291315244</v>
      </c>
      <c r="F31" s="6">
        <v>26458.382086038022</v>
      </c>
      <c r="G31" s="6">
        <v>12769.636517237563</v>
      </c>
      <c r="H31" s="6">
        <v>6292.8931869866137</v>
      </c>
      <c r="I31" s="6">
        <v>6476.7433302509489</v>
      </c>
      <c r="J31" s="6">
        <v>2199.1512235365717</v>
      </c>
      <c r="K31" s="6">
        <v>14968.787740774134</v>
      </c>
      <c r="L31" s="6">
        <v>9566.8391396689367</v>
      </c>
      <c r="M31" s="6">
        <v>4885.5824699198856</v>
      </c>
      <c r="N31" s="6">
        <v>4681.2566697490511</v>
      </c>
      <c r="O31" s="6">
        <v>1922.7552055949536</v>
      </c>
      <c r="P31" s="6">
        <v>11489.594345263889</v>
      </c>
    </row>
    <row r="32" spans="1:16" x14ac:dyDescent="0.15">
      <c r="A32" s="2">
        <v>2021</v>
      </c>
      <c r="B32" s="6">
        <v>47314.29172895426</v>
      </c>
      <c r="C32" s="6">
        <v>4468.2917289542584</v>
      </c>
      <c r="D32" s="6">
        <v>42846</v>
      </c>
      <c r="E32" s="6">
        <v>2881.6731769499634</v>
      </c>
      <c r="F32" s="6">
        <v>50195.96490590422</v>
      </c>
      <c r="G32" s="6">
        <v>30272.044628120944</v>
      </c>
      <c r="H32" s="6">
        <v>2807.7586281209428</v>
      </c>
      <c r="I32" s="6">
        <v>27464.286</v>
      </c>
      <c r="J32" s="6">
        <v>1768.7649052129095</v>
      </c>
      <c r="K32" s="6">
        <v>32040.809533333853</v>
      </c>
      <c r="L32" s="6">
        <v>17042.247100833312</v>
      </c>
      <c r="M32" s="6">
        <v>1660.5331008333158</v>
      </c>
      <c r="N32" s="6">
        <v>15381.713999999998</v>
      </c>
      <c r="O32" s="6">
        <v>1112.9082717370538</v>
      </c>
      <c r="P32" s="6">
        <v>18155.155372570367</v>
      </c>
    </row>
    <row r="33" spans="1:48" x14ac:dyDescent="0.15">
      <c r="A33" s="2">
        <v>2022</v>
      </c>
      <c r="B33" s="6">
        <v>64344.531999999999</v>
      </c>
      <c r="C33" s="6">
        <v>11572.531999999999</v>
      </c>
      <c r="D33" s="6">
        <v>52772</v>
      </c>
      <c r="E33" s="6">
        <v>9755.8363189014235</v>
      </c>
      <c r="F33" s="6">
        <v>74100.368318901426</v>
      </c>
      <c r="G33" s="6">
        <v>49472.462200000002</v>
      </c>
      <c r="H33" s="6">
        <v>7519.0902000000006</v>
      </c>
      <c r="I33" s="6">
        <v>41953.372000000003</v>
      </c>
      <c r="J33" s="6">
        <v>7137.7700493910297</v>
      </c>
      <c r="K33" s="6">
        <v>56610.232249391032</v>
      </c>
      <c r="L33" s="6">
        <v>12330.856999999995</v>
      </c>
      <c r="M33" s="6">
        <v>1512.2289999999994</v>
      </c>
      <c r="N33" s="6">
        <v>10818.627999999995</v>
      </c>
      <c r="O33" s="6">
        <v>2618.0662695103947</v>
      </c>
      <c r="P33" s="6">
        <v>14948.923269510389</v>
      </c>
    </row>
    <row r="34" spans="1:48" x14ac:dyDescent="0.15">
      <c r="A34" s="116">
        <v>2023</v>
      </c>
      <c r="B34" s="140">
        <v>53615</v>
      </c>
      <c r="C34" s="140">
        <v>16256</v>
      </c>
      <c r="D34" s="140">
        <v>37359</v>
      </c>
      <c r="E34" s="140">
        <v>5626</v>
      </c>
      <c r="F34" s="140">
        <v>59240</v>
      </c>
      <c r="G34" s="140">
        <v>37377</v>
      </c>
      <c r="H34" s="140">
        <v>11188</v>
      </c>
      <c r="I34" s="140">
        <v>26189</v>
      </c>
      <c r="J34" s="140">
        <v>3467</v>
      </c>
      <c r="K34" s="140">
        <v>40844</v>
      </c>
      <c r="L34" s="140">
        <v>16238</v>
      </c>
      <c r="M34" s="140">
        <v>5067</v>
      </c>
      <c r="N34" s="140">
        <v>11170</v>
      </c>
      <c r="O34" s="140">
        <v>2158</v>
      </c>
      <c r="P34" s="140">
        <v>18396</v>
      </c>
      <c r="Q34" s="126"/>
      <c r="R34" s="126"/>
      <c r="S34" s="126"/>
      <c r="T34" s="126"/>
      <c r="U34" s="126"/>
      <c r="V34" s="126"/>
      <c r="W34" s="126"/>
      <c r="X34" s="38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</row>
    <row r="35" spans="1:48" x14ac:dyDescent="0.15">
      <c r="A35" s="110">
        <v>2024</v>
      </c>
      <c r="B35" s="145">
        <v>106872</v>
      </c>
      <c r="C35" s="145">
        <v>28853</v>
      </c>
      <c r="D35" s="145">
        <v>78019</v>
      </c>
      <c r="E35" s="145">
        <v>18717</v>
      </c>
      <c r="F35" s="145">
        <v>125589</v>
      </c>
      <c r="G35" s="145">
        <v>28401</v>
      </c>
      <c r="H35" s="145">
        <v>6634</v>
      </c>
      <c r="I35" s="145">
        <v>21767</v>
      </c>
      <c r="J35" s="145">
        <v>6821</v>
      </c>
      <c r="K35" s="145">
        <v>35222</v>
      </c>
      <c r="L35" s="145">
        <v>78471</v>
      </c>
      <c r="M35" s="145">
        <v>22219</v>
      </c>
      <c r="N35" s="145">
        <v>56252</v>
      </c>
      <c r="O35" s="145">
        <v>11896</v>
      </c>
      <c r="P35" s="145">
        <v>90367</v>
      </c>
      <c r="Q35" s="126"/>
      <c r="R35" s="126"/>
      <c r="S35" s="126"/>
      <c r="T35" s="126"/>
      <c r="U35" s="126"/>
      <c r="V35" s="126"/>
      <c r="W35" s="126"/>
      <c r="X35" s="38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</row>
    <row r="36" spans="1:48" x14ac:dyDescent="0.15">
      <c r="A36" s="198" t="s">
        <v>24</v>
      </c>
      <c r="B36" s="198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38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</row>
    <row r="37" spans="1:48" x14ac:dyDescent="0.15">
      <c r="A37" s="110" t="s">
        <v>302</v>
      </c>
      <c r="B37" s="145">
        <v>54768</v>
      </c>
      <c r="C37" s="145">
        <v>21980</v>
      </c>
      <c r="D37" s="145">
        <v>32788</v>
      </c>
      <c r="E37" s="145">
        <v>12683</v>
      </c>
      <c r="F37" s="145">
        <v>67451</v>
      </c>
      <c r="G37" s="145">
        <v>28490</v>
      </c>
      <c r="H37" s="145">
        <v>9419</v>
      </c>
      <c r="I37" s="145">
        <v>19071</v>
      </c>
      <c r="J37" s="145">
        <v>5461</v>
      </c>
      <c r="K37" s="145">
        <v>33951</v>
      </c>
      <c r="L37" s="145">
        <v>26278</v>
      </c>
      <c r="M37" s="145">
        <v>12561</v>
      </c>
      <c r="N37" s="145">
        <v>13717</v>
      </c>
      <c r="O37" s="145">
        <v>7222</v>
      </c>
      <c r="P37" s="145">
        <v>33500</v>
      </c>
      <c r="Q37" s="126"/>
      <c r="R37" s="126"/>
      <c r="S37" s="126"/>
      <c r="T37" s="126"/>
      <c r="U37" s="126"/>
      <c r="V37" s="126"/>
      <c r="W37" s="126"/>
      <c r="X37" s="38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</row>
  </sheetData>
  <mergeCells count="4">
    <mergeCell ref="B2:F2"/>
    <mergeCell ref="G2:K2"/>
    <mergeCell ref="L2:P2"/>
    <mergeCell ref="A36:B36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49"/>
  <sheetViews>
    <sheetView topLeftCell="A19" workbookViewId="0">
      <selection activeCell="A42" sqref="A42:AM49"/>
    </sheetView>
  </sheetViews>
  <sheetFormatPr baseColWidth="10" defaultColWidth="9.1640625" defaultRowHeight="13" x14ac:dyDescent="0.15"/>
  <cols>
    <col min="1" max="16384" width="9.1640625" style="2"/>
  </cols>
  <sheetData>
    <row r="1" spans="1:11" x14ac:dyDescent="0.15">
      <c r="A1" s="7" t="s">
        <v>279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15">
      <c r="A2" s="10" t="s">
        <v>69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15">
      <c r="C3" s="2" t="s">
        <v>70</v>
      </c>
      <c r="G3" s="2" t="s">
        <v>71</v>
      </c>
      <c r="H3" s="2" t="s">
        <v>72</v>
      </c>
      <c r="I3" s="2" t="s">
        <v>47</v>
      </c>
    </row>
    <row r="4" spans="1:11" x14ac:dyDescent="0.15">
      <c r="A4" s="5" t="s">
        <v>10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53</v>
      </c>
      <c r="J4" s="5" t="s">
        <v>48</v>
      </c>
      <c r="K4" s="5" t="s">
        <v>33</v>
      </c>
    </row>
    <row r="5" spans="1:11" x14ac:dyDescent="0.15">
      <c r="A5" s="2">
        <v>1984</v>
      </c>
      <c r="B5" s="12">
        <v>43768</v>
      </c>
      <c r="C5" s="6">
        <v>147</v>
      </c>
      <c r="D5" s="6">
        <v>313</v>
      </c>
      <c r="E5" s="6">
        <v>0</v>
      </c>
      <c r="F5" s="6">
        <v>15</v>
      </c>
      <c r="G5" s="6">
        <v>42</v>
      </c>
      <c r="H5" s="6"/>
      <c r="I5" s="6"/>
      <c r="J5" s="6"/>
      <c r="K5" s="6">
        <v>517</v>
      </c>
    </row>
    <row r="6" spans="1:11" x14ac:dyDescent="0.15">
      <c r="A6" s="2">
        <v>1985</v>
      </c>
      <c r="B6" s="12">
        <v>43763</v>
      </c>
      <c r="C6" s="6">
        <v>590</v>
      </c>
      <c r="D6" s="6">
        <v>1217</v>
      </c>
      <c r="E6" s="6">
        <v>735</v>
      </c>
      <c r="F6" s="6">
        <v>39</v>
      </c>
      <c r="G6" s="6">
        <v>0</v>
      </c>
      <c r="H6" s="6">
        <v>924</v>
      </c>
      <c r="I6" s="6">
        <v>365</v>
      </c>
      <c r="J6" s="6"/>
      <c r="K6" s="6">
        <v>3870</v>
      </c>
    </row>
    <row r="7" spans="1:11" x14ac:dyDescent="0.15">
      <c r="A7" s="2">
        <v>1988</v>
      </c>
      <c r="B7" s="12">
        <v>43766</v>
      </c>
      <c r="C7" s="6">
        <v>32</v>
      </c>
      <c r="D7" s="6">
        <v>227</v>
      </c>
      <c r="E7" s="6"/>
      <c r="F7" s="6">
        <v>175</v>
      </c>
      <c r="G7" s="6"/>
      <c r="H7" s="6">
        <v>97</v>
      </c>
      <c r="I7" s="6">
        <v>53</v>
      </c>
      <c r="J7" s="6">
        <v>0</v>
      </c>
      <c r="K7" s="6">
        <v>584</v>
      </c>
    </row>
    <row r="8" spans="1:11" x14ac:dyDescent="0.15">
      <c r="A8" s="2">
        <v>1989</v>
      </c>
      <c r="B8" s="12">
        <v>43767</v>
      </c>
      <c r="C8" s="6">
        <v>336</v>
      </c>
      <c r="D8" s="6">
        <v>896</v>
      </c>
      <c r="E8" s="6">
        <v>992</v>
      </c>
      <c r="F8" s="6">
        <v>848</v>
      </c>
      <c r="G8" s="6">
        <v>120</v>
      </c>
      <c r="H8" s="6">
        <v>707</v>
      </c>
      <c r="I8" s="6">
        <v>90</v>
      </c>
      <c r="J8" s="6">
        <v>55</v>
      </c>
      <c r="K8" s="6">
        <v>4044</v>
      </c>
    </row>
    <row r="9" spans="1:11" x14ac:dyDescent="0.15">
      <c r="A9" s="2">
        <v>1990</v>
      </c>
      <c r="B9" s="12">
        <v>43768</v>
      </c>
      <c r="C9" s="6">
        <v>94</v>
      </c>
      <c r="D9" s="6">
        <v>548</v>
      </c>
      <c r="E9" s="6">
        <v>810</v>
      </c>
      <c r="F9" s="6">
        <v>494</v>
      </c>
      <c r="G9" s="6"/>
      <c r="H9" s="6">
        <v>664</v>
      </c>
      <c r="I9" s="6">
        <v>430</v>
      </c>
      <c r="J9" s="6"/>
      <c r="K9" s="6">
        <v>3040</v>
      </c>
    </row>
    <row r="10" spans="1:11" x14ac:dyDescent="0.15">
      <c r="A10" s="2">
        <v>1991</v>
      </c>
      <c r="B10" s="12">
        <v>43767</v>
      </c>
      <c r="C10" s="6">
        <v>302</v>
      </c>
      <c r="D10" s="6">
        <v>878</v>
      </c>
      <c r="E10" s="6">
        <v>985</v>
      </c>
      <c r="F10" s="6">
        <v>218</v>
      </c>
      <c r="G10" s="6"/>
      <c r="H10" s="6">
        <v>221</v>
      </c>
      <c r="I10" s="6">
        <v>352</v>
      </c>
      <c r="J10" s="6"/>
      <c r="K10" s="6">
        <v>2956</v>
      </c>
    </row>
    <row r="11" spans="1:11" x14ac:dyDescent="0.15">
      <c r="A11" s="2">
        <v>1992</v>
      </c>
      <c r="B11" s="12">
        <v>43767</v>
      </c>
      <c r="C11" s="6">
        <v>295</v>
      </c>
      <c r="D11" s="6">
        <v>1346</v>
      </c>
      <c r="E11" s="6">
        <v>949</v>
      </c>
      <c r="F11" s="6">
        <v>320</v>
      </c>
      <c r="G11" s="6"/>
      <c r="H11" s="6">
        <v>462</v>
      </c>
      <c r="I11" s="6">
        <v>316</v>
      </c>
      <c r="J11" s="6"/>
      <c r="K11" s="6">
        <v>3688</v>
      </c>
    </row>
    <row r="12" spans="1:11" x14ac:dyDescent="0.15">
      <c r="A12" s="2">
        <v>1993</v>
      </c>
      <c r="B12" s="12">
        <v>43768</v>
      </c>
      <c r="C12" s="6"/>
      <c r="D12" s="6"/>
      <c r="E12" s="6"/>
      <c r="F12" s="6"/>
      <c r="G12" s="6"/>
      <c r="H12" s="6">
        <v>206</v>
      </c>
      <c r="I12" s="6">
        <v>324</v>
      </c>
      <c r="J12" s="6"/>
      <c r="K12" s="6"/>
    </row>
    <row r="13" spans="1:11" x14ac:dyDescent="0.15">
      <c r="A13" s="2">
        <v>1994</v>
      </c>
      <c r="B13" s="12">
        <v>37561</v>
      </c>
      <c r="C13" s="6">
        <v>28</v>
      </c>
      <c r="D13" s="6">
        <v>652</v>
      </c>
      <c r="E13" s="6">
        <v>1026</v>
      </c>
      <c r="F13" s="6">
        <v>466</v>
      </c>
      <c r="G13" s="6"/>
      <c r="H13" s="6">
        <v>448</v>
      </c>
      <c r="I13" s="6">
        <v>1105</v>
      </c>
      <c r="J13" s="6"/>
      <c r="K13" s="6">
        <v>3725</v>
      </c>
    </row>
    <row r="14" spans="1:11" x14ac:dyDescent="0.15">
      <c r="A14" s="2">
        <v>1995</v>
      </c>
      <c r="B14" s="12">
        <v>43768</v>
      </c>
      <c r="C14" s="6">
        <v>211</v>
      </c>
      <c r="D14" s="6">
        <v>208</v>
      </c>
      <c r="E14" s="6">
        <v>1419</v>
      </c>
      <c r="F14" s="6">
        <v>574</v>
      </c>
      <c r="G14" s="6"/>
      <c r="H14" s="6">
        <v>621</v>
      </c>
      <c r="I14" s="6">
        <v>719</v>
      </c>
      <c r="J14" s="6"/>
      <c r="K14" s="6">
        <v>3752</v>
      </c>
    </row>
    <row r="15" spans="1:11" x14ac:dyDescent="0.15">
      <c r="A15" s="2">
        <v>1996</v>
      </c>
      <c r="B15" s="12">
        <v>43768</v>
      </c>
      <c r="C15" s="6">
        <v>163</v>
      </c>
      <c r="D15" s="6">
        <v>232</v>
      </c>
      <c r="E15" s="6">
        <v>205</v>
      </c>
      <c r="F15" s="6">
        <v>549</v>
      </c>
      <c r="G15" s="6"/>
      <c r="H15" s="6">
        <v>630</v>
      </c>
      <c r="I15" s="6">
        <v>1466</v>
      </c>
      <c r="J15" s="6"/>
      <c r="K15" s="6">
        <v>3245</v>
      </c>
    </row>
    <row r="16" spans="1:11" x14ac:dyDescent="0.15">
      <c r="A16" s="2">
        <v>1997</v>
      </c>
      <c r="B16" s="12">
        <v>43770</v>
      </c>
      <c r="C16" s="6">
        <v>2</v>
      </c>
      <c r="D16" s="6">
        <v>0</v>
      </c>
      <c r="E16" s="6">
        <v>19</v>
      </c>
      <c r="F16" s="6">
        <v>116</v>
      </c>
      <c r="G16" s="6"/>
      <c r="H16" s="6">
        <v>272</v>
      </c>
      <c r="I16" s="6">
        <v>648</v>
      </c>
      <c r="J16" s="6"/>
      <c r="K16" s="6">
        <v>1057</v>
      </c>
    </row>
    <row r="17" spans="1:11" x14ac:dyDescent="0.15">
      <c r="A17" s="2">
        <v>1998</v>
      </c>
      <c r="B17" s="12">
        <v>43768</v>
      </c>
      <c r="C17" s="6">
        <v>14</v>
      </c>
      <c r="D17" s="6">
        <v>63</v>
      </c>
      <c r="E17" s="6">
        <v>141</v>
      </c>
      <c r="F17" s="6">
        <v>282</v>
      </c>
      <c r="G17" s="6"/>
      <c r="H17" s="6">
        <v>143</v>
      </c>
      <c r="I17" s="6">
        <v>450</v>
      </c>
      <c r="J17" s="6"/>
      <c r="K17" s="6">
        <v>1093</v>
      </c>
    </row>
    <row r="18" spans="1:11" x14ac:dyDescent="0.15">
      <c r="A18" s="2">
        <v>1999</v>
      </c>
      <c r="B18" s="12">
        <v>43774</v>
      </c>
      <c r="C18" s="6">
        <v>163</v>
      </c>
      <c r="D18" s="6">
        <v>773</v>
      </c>
      <c r="E18" s="6">
        <v>891</v>
      </c>
      <c r="F18" s="6">
        <v>490</v>
      </c>
      <c r="G18" s="6"/>
      <c r="H18" s="6">
        <v>661</v>
      </c>
      <c r="I18" s="6">
        <v>894</v>
      </c>
      <c r="J18" s="6"/>
      <c r="K18" s="6">
        <v>3872</v>
      </c>
    </row>
    <row r="19" spans="1:11" x14ac:dyDescent="0.15">
      <c r="A19" s="2">
        <v>2000</v>
      </c>
      <c r="B19" s="12">
        <v>37927</v>
      </c>
      <c r="C19" s="6"/>
      <c r="D19" s="6"/>
      <c r="E19" s="6"/>
      <c r="F19" s="6">
        <v>5</v>
      </c>
      <c r="G19" s="6"/>
      <c r="H19" s="6">
        <v>95</v>
      </c>
      <c r="I19" s="6">
        <v>206</v>
      </c>
      <c r="J19" s="6"/>
      <c r="K19" s="6">
        <v>306</v>
      </c>
    </row>
    <row r="20" spans="1:11" x14ac:dyDescent="0.15">
      <c r="A20" s="2">
        <v>2001</v>
      </c>
      <c r="B20" s="12">
        <v>37927</v>
      </c>
      <c r="C20" s="6">
        <v>207</v>
      </c>
      <c r="D20" s="6">
        <v>1401</v>
      </c>
      <c r="E20" s="6">
        <v>3121</v>
      </c>
      <c r="F20" s="6">
        <v>708</v>
      </c>
      <c r="G20" s="6"/>
      <c r="H20" s="6">
        <v>1571</v>
      </c>
      <c r="I20" s="6">
        <v>397</v>
      </c>
      <c r="J20" s="6"/>
      <c r="K20" s="6">
        <v>7405</v>
      </c>
    </row>
    <row r="21" spans="1:11" x14ac:dyDescent="0.15">
      <c r="A21" s="2">
        <v>2002</v>
      </c>
      <c r="B21" s="12">
        <v>43774</v>
      </c>
      <c r="C21" s="6">
        <v>806</v>
      </c>
      <c r="D21" s="6">
        <v>2642</v>
      </c>
      <c r="E21" s="6">
        <v>4488</v>
      </c>
      <c r="F21" s="6">
        <v>1695</v>
      </c>
      <c r="G21" s="6"/>
      <c r="H21" s="6">
        <v>1389</v>
      </c>
      <c r="I21" s="6">
        <v>1626</v>
      </c>
      <c r="J21" s="6"/>
      <c r="K21" s="6">
        <v>12646</v>
      </c>
    </row>
    <row r="22" spans="1:11" x14ac:dyDescent="0.15">
      <c r="A22" s="2">
        <v>2003</v>
      </c>
      <c r="B22" s="12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15">
      <c r="A23" s="2">
        <v>2004</v>
      </c>
      <c r="B23" s="12" t="s">
        <v>80</v>
      </c>
      <c r="C23" s="6">
        <v>78</v>
      </c>
      <c r="D23" s="6">
        <v>762</v>
      </c>
      <c r="E23" s="6">
        <v>19</v>
      </c>
      <c r="F23" s="6">
        <v>959</v>
      </c>
      <c r="G23" s="6"/>
      <c r="H23" s="6">
        <v>173</v>
      </c>
      <c r="I23" s="6">
        <v>1009</v>
      </c>
      <c r="J23" s="6"/>
      <c r="K23" s="6">
        <v>3000</v>
      </c>
    </row>
    <row r="24" spans="1:11" x14ac:dyDescent="0.15">
      <c r="A24" s="2">
        <v>2005</v>
      </c>
      <c r="B24" s="12">
        <v>43769</v>
      </c>
      <c r="C24" s="6">
        <v>300</v>
      </c>
      <c r="D24" s="6">
        <v>1195</v>
      </c>
      <c r="E24" s="6">
        <v>444</v>
      </c>
      <c r="F24" s="6">
        <v>353</v>
      </c>
      <c r="G24" s="6"/>
      <c r="H24" s="6">
        <v>218</v>
      </c>
      <c r="I24" s="6">
        <v>689</v>
      </c>
      <c r="J24" s="6"/>
      <c r="K24" s="6">
        <v>3199</v>
      </c>
    </row>
    <row r="25" spans="1:11" x14ac:dyDescent="0.15">
      <c r="A25" s="2">
        <v>2006</v>
      </c>
      <c r="B25" s="12">
        <v>43771</v>
      </c>
      <c r="C25" s="6">
        <v>350</v>
      </c>
      <c r="D25" s="6">
        <v>543</v>
      </c>
      <c r="E25" s="6">
        <v>675</v>
      </c>
      <c r="F25" s="6">
        <v>403</v>
      </c>
      <c r="G25" s="6"/>
      <c r="H25" s="6">
        <v>95</v>
      </c>
      <c r="I25" s="6">
        <v>147</v>
      </c>
      <c r="J25" s="6"/>
      <c r="K25" s="6">
        <v>2213</v>
      </c>
    </row>
    <row r="26" spans="1:11" x14ac:dyDescent="0.15">
      <c r="A26" s="2">
        <v>2007</v>
      </c>
      <c r="B26" s="12">
        <v>43779</v>
      </c>
      <c r="C26" s="6">
        <v>66</v>
      </c>
      <c r="D26" s="6">
        <v>190</v>
      </c>
      <c r="E26" s="6">
        <v>567</v>
      </c>
      <c r="F26" s="6">
        <v>240</v>
      </c>
      <c r="G26" s="6"/>
      <c r="H26" s="6">
        <v>153</v>
      </c>
      <c r="I26" s="6">
        <v>341</v>
      </c>
      <c r="J26" s="6"/>
      <c r="K26" s="6">
        <v>1557</v>
      </c>
    </row>
    <row r="27" spans="1:11" x14ac:dyDescent="0.15">
      <c r="A27" s="2">
        <v>2008</v>
      </c>
      <c r="B27" s="12" t="s">
        <v>81</v>
      </c>
      <c r="C27" s="6"/>
      <c r="D27" s="6"/>
      <c r="E27" s="6">
        <v>535</v>
      </c>
      <c r="F27" s="6">
        <v>501</v>
      </c>
      <c r="G27" s="6"/>
      <c r="H27" s="6">
        <v>86</v>
      </c>
      <c r="I27" s="6">
        <v>25</v>
      </c>
      <c r="J27" s="6"/>
      <c r="K27" s="6">
        <v>1147</v>
      </c>
    </row>
    <row r="28" spans="1:11" x14ac:dyDescent="0.15">
      <c r="A28" s="2">
        <v>2009</v>
      </c>
      <c r="B28" s="12">
        <v>43771</v>
      </c>
      <c r="C28" s="6">
        <v>212</v>
      </c>
      <c r="D28" s="6">
        <v>698</v>
      </c>
      <c r="E28" s="6">
        <v>475</v>
      </c>
      <c r="F28" s="6">
        <v>257</v>
      </c>
      <c r="G28" s="6"/>
      <c r="H28" s="6">
        <v>16</v>
      </c>
      <c r="I28" s="6">
        <v>617</v>
      </c>
      <c r="J28" s="6"/>
      <c r="K28" s="6">
        <v>2275</v>
      </c>
    </row>
    <row r="29" spans="1:11" x14ac:dyDescent="0.15">
      <c r="A29" s="2">
        <v>2010</v>
      </c>
      <c r="B29" s="12" t="s">
        <v>80</v>
      </c>
      <c r="C29" s="6">
        <v>37</v>
      </c>
      <c r="D29" s="6">
        <v>237</v>
      </c>
      <c r="E29" s="6">
        <v>31</v>
      </c>
      <c r="F29" s="6">
        <v>363</v>
      </c>
      <c r="G29" s="6"/>
      <c r="H29" s="6">
        <v>130</v>
      </c>
      <c r="I29" s="6">
        <v>953</v>
      </c>
      <c r="J29" s="6"/>
      <c r="K29" s="6">
        <v>1751</v>
      </c>
    </row>
    <row r="30" spans="1:11" x14ac:dyDescent="0.15">
      <c r="A30" s="2">
        <v>2011</v>
      </c>
      <c r="B30" s="12">
        <v>43773</v>
      </c>
      <c r="C30" s="6">
        <v>181.5</v>
      </c>
      <c r="D30" s="6">
        <v>688.5</v>
      </c>
      <c r="E30" s="6">
        <v>458.5</v>
      </c>
      <c r="F30" s="6">
        <v>308.5</v>
      </c>
      <c r="G30" s="6"/>
      <c r="H30" s="6">
        <v>436.5</v>
      </c>
      <c r="I30" s="6">
        <v>468</v>
      </c>
      <c r="J30" s="6"/>
      <c r="K30" s="6">
        <v>2541.5</v>
      </c>
    </row>
    <row r="31" spans="1:11" x14ac:dyDescent="0.15">
      <c r="A31" s="2">
        <v>2012</v>
      </c>
      <c r="B31" s="12" t="s">
        <v>82</v>
      </c>
      <c r="C31" s="6" t="s">
        <v>56</v>
      </c>
      <c r="D31" s="6" t="s">
        <v>56</v>
      </c>
      <c r="E31" s="6" t="s">
        <v>56</v>
      </c>
      <c r="F31" s="6" t="s">
        <v>56</v>
      </c>
      <c r="G31" s="6"/>
      <c r="H31" s="6">
        <v>3</v>
      </c>
      <c r="I31" s="6">
        <v>336</v>
      </c>
      <c r="J31" s="6"/>
      <c r="K31" s="6"/>
    </row>
    <row r="32" spans="1:11" x14ac:dyDescent="0.15">
      <c r="A32" s="2">
        <v>2013</v>
      </c>
      <c r="B32" s="12">
        <v>43774</v>
      </c>
      <c r="C32" s="6">
        <v>449</v>
      </c>
      <c r="D32" s="6">
        <v>191</v>
      </c>
      <c r="E32" s="6">
        <v>675</v>
      </c>
      <c r="F32" s="6">
        <v>249</v>
      </c>
      <c r="G32" s="6"/>
      <c r="H32" s="6">
        <v>23</v>
      </c>
      <c r="I32" s="6">
        <v>53</v>
      </c>
      <c r="J32" s="6"/>
      <c r="K32" s="6">
        <v>1640</v>
      </c>
    </row>
    <row r="33" spans="1:39" x14ac:dyDescent="0.15">
      <c r="A33" s="2">
        <v>2014</v>
      </c>
      <c r="B33" s="12">
        <v>43775</v>
      </c>
      <c r="C33" s="6">
        <v>7</v>
      </c>
      <c r="D33" s="6">
        <v>255</v>
      </c>
      <c r="E33" s="6">
        <v>212</v>
      </c>
      <c r="F33" s="6">
        <v>74</v>
      </c>
      <c r="G33" s="6"/>
      <c r="H33" s="6">
        <v>138</v>
      </c>
      <c r="I33" s="6">
        <v>509</v>
      </c>
      <c r="J33" s="6"/>
      <c r="K33" s="6">
        <v>1195</v>
      </c>
    </row>
    <row r="34" spans="1:39" x14ac:dyDescent="0.15">
      <c r="A34" s="2">
        <v>2015</v>
      </c>
      <c r="B34" s="12">
        <v>43776</v>
      </c>
      <c r="C34" s="6">
        <v>15</v>
      </c>
      <c r="D34" s="6">
        <v>168</v>
      </c>
      <c r="E34" s="6">
        <v>608</v>
      </c>
      <c r="F34" s="6">
        <v>66</v>
      </c>
      <c r="G34" s="6"/>
      <c r="H34" s="6">
        <v>61</v>
      </c>
      <c r="I34" s="6">
        <v>263</v>
      </c>
      <c r="J34" s="6"/>
      <c r="K34" s="6">
        <v>1181</v>
      </c>
    </row>
    <row r="35" spans="1:39" x14ac:dyDescent="0.15">
      <c r="A35" s="2">
        <v>2016</v>
      </c>
      <c r="B35" s="12">
        <v>43772</v>
      </c>
      <c r="C35" s="6">
        <v>0</v>
      </c>
      <c r="D35" s="6">
        <v>0</v>
      </c>
      <c r="E35" s="6">
        <v>10</v>
      </c>
      <c r="F35" s="6">
        <v>152</v>
      </c>
      <c r="G35" s="6"/>
      <c r="H35" s="6">
        <v>90</v>
      </c>
      <c r="I35" s="6">
        <v>40</v>
      </c>
      <c r="J35" s="6"/>
      <c r="K35" s="6">
        <v>292</v>
      </c>
    </row>
    <row r="36" spans="1:39" x14ac:dyDescent="0.15">
      <c r="A36" s="2">
        <v>2017</v>
      </c>
      <c r="B36" s="12">
        <v>43771</v>
      </c>
      <c r="C36" s="6">
        <v>246</v>
      </c>
      <c r="D36" s="6">
        <v>538</v>
      </c>
      <c r="E36" s="6">
        <v>570</v>
      </c>
      <c r="F36" s="6">
        <v>189</v>
      </c>
      <c r="G36" s="6"/>
      <c r="H36" s="6">
        <v>36</v>
      </c>
      <c r="I36" s="6">
        <v>77</v>
      </c>
      <c r="J36" s="6"/>
      <c r="K36" s="6">
        <v>1656</v>
      </c>
    </row>
    <row r="37" spans="1:39" x14ac:dyDescent="0.15">
      <c r="A37" s="2">
        <v>2018</v>
      </c>
      <c r="B37" s="12">
        <v>43775</v>
      </c>
      <c r="C37" s="6">
        <v>463</v>
      </c>
      <c r="D37" s="6">
        <v>185</v>
      </c>
      <c r="E37" s="6">
        <v>736</v>
      </c>
      <c r="F37" s="6">
        <v>22</v>
      </c>
      <c r="G37" s="6"/>
      <c r="H37" s="6">
        <v>128</v>
      </c>
      <c r="I37" s="6">
        <v>460</v>
      </c>
      <c r="J37" s="6"/>
      <c r="K37" s="6">
        <v>1994</v>
      </c>
    </row>
    <row r="38" spans="1:39" x14ac:dyDescent="0.15">
      <c r="A38" s="2">
        <v>2019</v>
      </c>
      <c r="B38" s="12">
        <v>43779</v>
      </c>
      <c r="C38" s="6">
        <v>1</v>
      </c>
      <c r="D38" s="6">
        <v>50</v>
      </c>
      <c r="E38" s="6">
        <v>61</v>
      </c>
      <c r="F38" s="6">
        <v>48</v>
      </c>
      <c r="G38" s="6"/>
      <c r="H38" s="6">
        <v>190</v>
      </c>
      <c r="I38" s="6">
        <v>48</v>
      </c>
      <c r="J38" s="6"/>
      <c r="K38" s="6">
        <v>398</v>
      </c>
    </row>
    <row r="39" spans="1:39" x14ac:dyDescent="0.15">
      <c r="A39" s="2">
        <v>2020</v>
      </c>
      <c r="B39" s="12">
        <v>44138</v>
      </c>
      <c r="C39" s="6" t="s">
        <v>56</v>
      </c>
      <c r="D39" s="6" t="s">
        <v>56</v>
      </c>
      <c r="E39" s="6" t="s">
        <v>56</v>
      </c>
      <c r="F39" s="6" t="s">
        <v>56</v>
      </c>
      <c r="G39" s="6"/>
      <c r="H39" s="6" t="s">
        <v>56</v>
      </c>
      <c r="I39" s="6">
        <v>199</v>
      </c>
      <c r="J39" s="6"/>
      <c r="K39" s="6">
        <v>199</v>
      </c>
    </row>
    <row r="40" spans="1:39" x14ac:dyDescent="0.15">
      <c r="A40" s="2">
        <v>2021</v>
      </c>
      <c r="B40" s="12">
        <v>44502</v>
      </c>
      <c r="C40" s="6">
        <v>346</v>
      </c>
      <c r="D40" s="6">
        <v>120</v>
      </c>
      <c r="E40" s="6">
        <v>1475</v>
      </c>
      <c r="F40" s="6">
        <v>378</v>
      </c>
      <c r="G40" s="6"/>
      <c r="H40" s="6">
        <v>77</v>
      </c>
      <c r="I40" s="6">
        <v>60</v>
      </c>
      <c r="J40" s="6"/>
      <c r="K40" s="6">
        <v>2456</v>
      </c>
    </row>
    <row r="41" spans="1:39" x14ac:dyDescent="0.15">
      <c r="A41" s="2">
        <v>2022</v>
      </c>
      <c r="B41" s="12">
        <v>44873</v>
      </c>
      <c r="C41" s="6">
        <v>137</v>
      </c>
      <c r="D41" s="6">
        <v>366</v>
      </c>
      <c r="E41" s="6">
        <v>160</v>
      </c>
      <c r="F41" s="6">
        <v>579</v>
      </c>
      <c r="G41" s="6" t="s">
        <v>278</v>
      </c>
      <c r="H41" s="6">
        <v>40</v>
      </c>
      <c r="I41" s="6">
        <v>26</v>
      </c>
      <c r="J41" s="6" t="s">
        <v>278</v>
      </c>
      <c r="K41" s="6">
        <v>1308</v>
      </c>
    </row>
    <row r="42" spans="1:39" x14ac:dyDescent="0.15">
      <c r="A42" s="116">
        <v>2023</v>
      </c>
      <c r="B42" s="155">
        <v>45960</v>
      </c>
      <c r="C42" s="140">
        <v>1147</v>
      </c>
      <c r="D42" s="39">
        <v>1713</v>
      </c>
      <c r="E42" s="140">
        <v>3311</v>
      </c>
      <c r="F42" s="126">
        <v>113</v>
      </c>
      <c r="G42" s="126"/>
      <c r="H42" s="126">
        <v>410</v>
      </c>
      <c r="I42" s="126">
        <v>175</v>
      </c>
      <c r="J42" s="126"/>
      <c r="K42" s="140">
        <v>6869</v>
      </c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</row>
    <row r="43" spans="1:39" x14ac:dyDescent="0.15">
      <c r="A43" s="110">
        <v>2024</v>
      </c>
      <c r="B43" s="156">
        <v>45962</v>
      </c>
      <c r="C43" s="111">
        <v>64</v>
      </c>
      <c r="D43" s="41">
        <v>253</v>
      </c>
      <c r="E43" s="145">
        <v>1614</v>
      </c>
      <c r="F43" s="111">
        <v>64</v>
      </c>
      <c r="G43" s="111" t="s">
        <v>278</v>
      </c>
      <c r="H43" s="111">
        <v>177</v>
      </c>
      <c r="I43" s="111">
        <v>89</v>
      </c>
      <c r="J43" s="111" t="s">
        <v>278</v>
      </c>
      <c r="K43" s="145">
        <v>2261</v>
      </c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</row>
    <row r="44" spans="1:39" x14ac:dyDescent="0.15">
      <c r="A44" s="116" t="s">
        <v>83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</row>
    <row r="45" spans="1:39" x14ac:dyDescent="0.15">
      <c r="A45" s="116" t="s">
        <v>309</v>
      </c>
      <c r="B45" s="126"/>
      <c r="C45" s="126">
        <v>232</v>
      </c>
      <c r="D45" s="126">
        <v>603</v>
      </c>
      <c r="E45" s="126">
        <v>838</v>
      </c>
      <c r="F45" s="126">
        <v>360</v>
      </c>
      <c r="G45" s="126"/>
      <c r="H45" s="126">
        <v>332</v>
      </c>
      <c r="I45" s="126">
        <v>443</v>
      </c>
      <c r="J45" s="126"/>
      <c r="K45" s="140">
        <v>2648</v>
      </c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</row>
    <row r="46" spans="1:39" x14ac:dyDescent="0.15">
      <c r="A46" s="110" t="s">
        <v>302</v>
      </c>
      <c r="B46" s="111"/>
      <c r="C46" s="111">
        <v>262</v>
      </c>
      <c r="D46" s="111">
        <v>377</v>
      </c>
      <c r="E46" s="111">
        <v>794</v>
      </c>
      <c r="F46" s="111">
        <v>180</v>
      </c>
      <c r="G46" s="111"/>
      <c r="H46" s="111">
        <v>130</v>
      </c>
      <c r="I46" s="111">
        <v>186</v>
      </c>
      <c r="J46" s="111"/>
      <c r="K46" s="145">
        <v>1755</v>
      </c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</row>
    <row r="47" spans="1:39" ht="15" x14ac:dyDescent="0.15">
      <c r="A47" s="144" t="s">
        <v>348</v>
      </c>
      <c r="B47" s="126"/>
      <c r="C47" s="38"/>
      <c r="D47" s="126"/>
      <c r="E47" s="126"/>
      <c r="F47" s="126"/>
      <c r="G47" s="126"/>
      <c r="H47" s="126"/>
      <c r="I47" s="126"/>
      <c r="J47" s="126"/>
      <c r="K47" s="119"/>
      <c r="L47" s="119"/>
      <c r="M47" s="119"/>
      <c r="N47" s="119"/>
      <c r="O47" s="119"/>
      <c r="P47" s="119"/>
      <c r="Q47" s="119"/>
      <c r="R47" s="119"/>
      <c r="S47" s="153"/>
      <c r="T47" s="119"/>
      <c r="U47" s="119"/>
      <c r="V47" s="119"/>
      <c r="W47" s="119"/>
      <c r="X47" s="119"/>
      <c r="Y47" s="119"/>
      <c r="Z47" s="119"/>
      <c r="AA47" s="119"/>
      <c r="AB47" s="119"/>
      <c r="AC47" s="119" t="s">
        <v>349</v>
      </c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</row>
    <row r="48" spans="1:39" ht="15" x14ac:dyDescent="0.15">
      <c r="A48" s="144" t="s">
        <v>350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54"/>
      <c r="L48" s="119"/>
      <c r="M48" s="119"/>
      <c r="N48" s="119"/>
      <c r="O48" s="119"/>
      <c r="P48" s="119"/>
      <c r="Q48" s="119"/>
      <c r="R48" s="119"/>
      <c r="S48" s="153"/>
      <c r="T48" s="119"/>
      <c r="U48" s="119"/>
      <c r="V48" s="119"/>
      <c r="W48" s="119"/>
      <c r="X48" s="119"/>
      <c r="Y48" s="119"/>
      <c r="Z48" s="119"/>
      <c r="AA48" s="119"/>
      <c r="AB48" s="119"/>
      <c r="AC48" s="119" t="s">
        <v>351</v>
      </c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</row>
    <row r="49" spans="1:39" ht="15" x14ac:dyDescent="0.15">
      <c r="A49" s="144" t="s">
        <v>352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54"/>
      <c r="L49" s="154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74"/>
  <sheetViews>
    <sheetView topLeftCell="A54" workbookViewId="0">
      <selection activeCell="S68" sqref="S68"/>
    </sheetView>
  </sheetViews>
  <sheetFormatPr baseColWidth="10" defaultColWidth="9.1640625" defaultRowHeight="13" x14ac:dyDescent="0.15"/>
  <cols>
    <col min="1" max="1" width="9.1640625" style="2"/>
    <col min="2" max="2" width="7.5" style="2" bestFit="1" customWidth="1"/>
    <col min="3" max="3" width="12.33203125" style="2" bestFit="1" customWidth="1"/>
    <col min="4" max="6" width="6.6640625" style="2" bestFit="1" customWidth="1"/>
    <col min="7" max="7" width="14.1640625" style="2" bestFit="1" customWidth="1"/>
    <col min="8" max="8" width="17.5" style="2" bestFit="1" customWidth="1"/>
    <col min="9" max="9" width="9.83203125" style="2" bestFit="1" customWidth="1"/>
    <col min="10" max="11" width="7.33203125" style="2" bestFit="1" customWidth="1"/>
    <col min="12" max="12" width="10.1640625" style="2" bestFit="1" customWidth="1"/>
    <col min="13" max="14" width="8.5" style="2" bestFit="1" customWidth="1"/>
    <col min="15" max="15" width="16.5" style="2" bestFit="1" customWidth="1"/>
    <col min="16" max="16" width="8.5" style="2" bestFit="1" customWidth="1"/>
    <col min="17" max="17" width="7.5" style="2" customWidth="1"/>
    <col min="18" max="18" width="16.83203125" style="2" bestFit="1" customWidth="1"/>
    <col min="19" max="19" width="8.5" style="2" bestFit="1" customWidth="1"/>
    <col min="20" max="20" width="6.6640625" style="2" customWidth="1"/>
    <col min="21" max="16384" width="9.1640625" style="2"/>
  </cols>
  <sheetData>
    <row r="1" spans="1:39" x14ac:dyDescent="0.15">
      <c r="A1" s="110" t="s">
        <v>280</v>
      </c>
      <c r="B1" s="157"/>
      <c r="C1" s="157"/>
      <c r="D1" s="157"/>
      <c r="E1" s="157"/>
      <c r="F1" s="157"/>
      <c r="G1" s="157"/>
      <c r="H1" s="157"/>
      <c r="I1" s="110"/>
      <c r="J1" s="157"/>
      <c r="K1" s="157"/>
      <c r="L1" s="157"/>
      <c r="M1" s="146"/>
      <c r="N1" s="146"/>
      <c r="O1" s="146"/>
      <c r="P1" s="146"/>
      <c r="Q1" s="146"/>
      <c r="R1" s="146"/>
      <c r="S1" s="146"/>
      <c r="T1" s="146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</row>
    <row r="2" spans="1:39" x14ac:dyDescent="0.15">
      <c r="A2" s="116" t="s">
        <v>84</v>
      </c>
      <c r="B2" s="154"/>
      <c r="C2" s="154"/>
      <c r="D2" s="154"/>
      <c r="E2" s="154"/>
      <c r="F2" s="154"/>
      <c r="G2" s="154"/>
      <c r="H2" s="154"/>
      <c r="I2" s="116"/>
      <c r="J2" s="154"/>
      <c r="K2" s="154"/>
      <c r="L2" s="154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</row>
    <row r="3" spans="1:39" x14ac:dyDescent="0.15">
      <c r="A3" s="110" t="s">
        <v>85</v>
      </c>
      <c r="B3" s="157"/>
      <c r="C3" s="157"/>
      <c r="D3" s="157"/>
      <c r="E3" s="157"/>
      <c r="F3" s="157"/>
      <c r="G3" s="157"/>
      <c r="H3" s="157"/>
      <c r="I3" s="110"/>
      <c r="J3" s="157"/>
      <c r="K3" s="157"/>
      <c r="L3" s="157"/>
      <c r="M3" s="146"/>
      <c r="N3" s="146"/>
      <c r="O3" s="146"/>
      <c r="P3" s="146"/>
      <c r="Q3" s="146"/>
      <c r="R3" s="146"/>
      <c r="S3" s="146"/>
      <c r="T3" s="146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</row>
    <row r="4" spans="1:39" ht="16" x14ac:dyDescent="0.3">
      <c r="A4" s="116"/>
      <c r="B4" s="154" t="s">
        <v>86</v>
      </c>
      <c r="C4" s="199" t="s">
        <v>87</v>
      </c>
      <c r="D4" s="199"/>
      <c r="E4" s="199"/>
      <c r="F4" s="154" t="s">
        <v>86</v>
      </c>
      <c r="G4" s="154" t="s">
        <v>88</v>
      </c>
      <c r="H4" s="154" t="s">
        <v>89</v>
      </c>
      <c r="I4" s="154"/>
      <c r="J4" s="154" t="s">
        <v>90</v>
      </c>
      <c r="K4" s="154" t="s">
        <v>91</v>
      </c>
      <c r="L4" s="199" t="s">
        <v>13</v>
      </c>
      <c r="M4" s="199"/>
      <c r="N4" s="199"/>
      <c r="O4" s="199" t="s">
        <v>92</v>
      </c>
      <c r="P4" s="199"/>
      <c r="Q4" s="199"/>
      <c r="R4" s="199" t="s">
        <v>93</v>
      </c>
      <c r="S4" s="199"/>
      <c r="T4" s="19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 spans="1:39" x14ac:dyDescent="0.15">
      <c r="A5" s="110" t="s">
        <v>10</v>
      </c>
      <c r="B5" s="111" t="s">
        <v>94</v>
      </c>
      <c r="C5" s="111" t="s">
        <v>95</v>
      </c>
      <c r="D5" s="158">
        <v>0.5</v>
      </c>
      <c r="E5" s="158">
        <v>0.9</v>
      </c>
      <c r="F5" s="111" t="s">
        <v>96</v>
      </c>
      <c r="G5" s="111" t="s">
        <v>97</v>
      </c>
      <c r="H5" s="111" t="s">
        <v>98</v>
      </c>
      <c r="I5" s="111" t="s">
        <v>99</v>
      </c>
      <c r="J5" s="111" t="s">
        <v>100</v>
      </c>
      <c r="K5" s="111" t="s">
        <v>90</v>
      </c>
      <c r="L5" s="111" t="s">
        <v>33</v>
      </c>
      <c r="M5" s="111" t="s">
        <v>101</v>
      </c>
      <c r="N5" s="111" t="s">
        <v>102</v>
      </c>
      <c r="O5" s="111" t="s">
        <v>33</v>
      </c>
      <c r="P5" s="111" t="s">
        <v>101</v>
      </c>
      <c r="Q5" s="111" t="s">
        <v>103</v>
      </c>
      <c r="R5" s="111" t="s">
        <v>33</v>
      </c>
      <c r="S5" s="111" t="s">
        <v>101</v>
      </c>
      <c r="T5" s="111" t="s">
        <v>103</v>
      </c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</row>
    <row r="6" spans="1:39" x14ac:dyDescent="0.15">
      <c r="A6" s="116">
        <v>1959</v>
      </c>
      <c r="B6" s="159">
        <v>45839</v>
      </c>
      <c r="C6" s="160">
        <v>45872</v>
      </c>
      <c r="D6" s="160">
        <v>45882</v>
      </c>
      <c r="E6" s="160">
        <v>45886</v>
      </c>
      <c r="F6" s="154"/>
      <c r="G6" s="161">
        <v>4311</v>
      </c>
      <c r="H6" s="162">
        <v>4311</v>
      </c>
      <c r="I6" s="154"/>
      <c r="J6" s="154"/>
      <c r="K6" s="154"/>
      <c r="L6" s="154"/>
      <c r="M6" s="154"/>
      <c r="N6" s="154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</row>
    <row r="7" spans="1:39" x14ac:dyDescent="0.15">
      <c r="A7" s="116">
        <v>1960</v>
      </c>
      <c r="B7" s="159">
        <v>45853</v>
      </c>
      <c r="C7" s="160">
        <v>45871</v>
      </c>
      <c r="D7" s="160">
        <v>45893</v>
      </c>
      <c r="E7" s="160">
        <v>45896</v>
      </c>
      <c r="F7" s="154"/>
      <c r="G7" s="161">
        <v>6387</v>
      </c>
      <c r="H7" s="162">
        <v>6387</v>
      </c>
      <c r="I7" s="154"/>
      <c r="J7" s="154"/>
      <c r="K7" s="154"/>
      <c r="L7" s="154"/>
      <c r="M7" s="154"/>
      <c r="N7" s="154"/>
      <c r="O7" s="119"/>
      <c r="P7" s="119"/>
      <c r="Q7" s="119"/>
      <c r="R7" s="119"/>
      <c r="S7" s="119"/>
      <c r="T7" s="119"/>
      <c r="U7" s="119"/>
      <c r="V7" s="42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 spans="1:39" x14ac:dyDescent="0.15">
      <c r="A8" s="116">
        <v>1961</v>
      </c>
      <c r="B8" s="159">
        <v>45859</v>
      </c>
      <c r="C8" s="160">
        <v>45879</v>
      </c>
      <c r="D8" s="160">
        <v>45881</v>
      </c>
      <c r="E8" s="160">
        <v>45886</v>
      </c>
      <c r="F8" s="154"/>
      <c r="G8" s="161">
        <v>16519</v>
      </c>
      <c r="H8" s="162">
        <v>16519</v>
      </c>
      <c r="I8" s="154"/>
      <c r="J8" s="154"/>
      <c r="K8" s="154"/>
      <c r="L8" s="154"/>
      <c r="M8" s="154"/>
      <c r="N8" s="154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</row>
    <row r="9" spans="1:39" x14ac:dyDescent="0.15">
      <c r="A9" s="116">
        <v>1962</v>
      </c>
      <c r="B9" s="159">
        <v>45871</v>
      </c>
      <c r="C9" s="160">
        <v>45872</v>
      </c>
      <c r="D9" s="160">
        <v>45875</v>
      </c>
      <c r="E9" s="160">
        <v>45878</v>
      </c>
      <c r="F9" s="154"/>
      <c r="G9" s="161">
        <v>14508</v>
      </c>
      <c r="H9" s="162">
        <v>14508</v>
      </c>
      <c r="I9" s="154"/>
      <c r="J9" s="154"/>
      <c r="K9" s="154"/>
      <c r="L9" s="154"/>
      <c r="M9" s="154"/>
      <c r="N9" s="154"/>
      <c r="O9" s="119"/>
      <c r="P9" s="119"/>
      <c r="Q9" s="119"/>
      <c r="R9" s="119"/>
      <c r="S9" s="119"/>
      <c r="T9" s="119"/>
      <c r="U9" s="119"/>
      <c r="V9" s="42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</row>
    <row r="10" spans="1:39" x14ac:dyDescent="0.15">
      <c r="A10" s="116">
        <v>1963</v>
      </c>
      <c r="B10" s="159">
        <v>45873</v>
      </c>
      <c r="C10" s="154"/>
      <c r="D10" s="154"/>
      <c r="E10" s="154"/>
      <c r="F10" s="154"/>
      <c r="G10" s="161">
        <v>1780</v>
      </c>
      <c r="H10" s="162">
        <v>1780</v>
      </c>
      <c r="I10" s="154"/>
      <c r="J10" s="154"/>
      <c r="K10" s="154"/>
      <c r="L10" s="154"/>
      <c r="M10" s="154"/>
      <c r="N10" s="154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</row>
    <row r="11" spans="1:39" x14ac:dyDescent="0.15">
      <c r="A11" s="116">
        <v>1964</v>
      </c>
      <c r="B11" s="159">
        <v>45861</v>
      </c>
      <c r="C11" s="160">
        <v>45864</v>
      </c>
      <c r="D11" s="160">
        <v>45884</v>
      </c>
      <c r="E11" s="160">
        <v>45894</v>
      </c>
      <c r="F11" s="154"/>
      <c r="G11" s="161">
        <v>18353</v>
      </c>
      <c r="H11" s="162">
        <v>18353</v>
      </c>
      <c r="I11" s="154"/>
      <c r="J11" s="154"/>
      <c r="K11" s="154"/>
      <c r="L11" s="154"/>
      <c r="M11" s="154"/>
      <c r="N11" s="154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</row>
    <row r="12" spans="1:39" ht="15" x14ac:dyDescent="0.15">
      <c r="A12" s="116" t="s">
        <v>353</v>
      </c>
      <c r="B12" s="159">
        <v>45858</v>
      </c>
      <c r="C12" s="160">
        <v>45888</v>
      </c>
      <c r="D12" s="160">
        <v>45904</v>
      </c>
      <c r="E12" s="160">
        <v>45908</v>
      </c>
      <c r="F12" s="154"/>
      <c r="G12" s="161">
        <v>1471</v>
      </c>
      <c r="H12" s="162">
        <v>1471</v>
      </c>
      <c r="I12" s="154"/>
      <c r="J12" s="154"/>
      <c r="K12" s="154"/>
      <c r="L12" s="154"/>
      <c r="M12" s="154"/>
      <c r="N12" s="154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</row>
    <row r="13" spans="1:39" x14ac:dyDescent="0.15">
      <c r="A13" s="116">
        <v>1966</v>
      </c>
      <c r="B13" s="159">
        <v>45851</v>
      </c>
      <c r="C13" s="160">
        <v>45873</v>
      </c>
      <c r="D13" s="160">
        <v>45883</v>
      </c>
      <c r="E13" s="160">
        <v>45891</v>
      </c>
      <c r="F13" s="154"/>
      <c r="G13" s="161">
        <v>21580</v>
      </c>
      <c r="H13" s="162">
        <v>21580</v>
      </c>
      <c r="I13" s="154"/>
      <c r="J13" s="154"/>
      <c r="K13" s="154"/>
      <c r="L13" s="154"/>
      <c r="M13" s="154"/>
      <c r="N13" s="154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</row>
    <row r="14" spans="1:39" x14ac:dyDescent="0.15">
      <c r="A14" s="116">
        <v>1967</v>
      </c>
      <c r="B14" s="159">
        <v>45850</v>
      </c>
      <c r="C14" s="160">
        <v>45853</v>
      </c>
      <c r="D14" s="160">
        <v>45860</v>
      </c>
      <c r="E14" s="160">
        <v>45867</v>
      </c>
      <c r="F14" s="154"/>
      <c r="G14" s="161">
        <v>38802</v>
      </c>
      <c r="H14" s="162">
        <v>38802</v>
      </c>
      <c r="I14" s="154"/>
      <c r="J14" s="154"/>
      <c r="K14" s="154"/>
      <c r="L14" s="154"/>
      <c r="M14" s="154"/>
      <c r="N14" s="154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</row>
    <row r="15" spans="1:39" x14ac:dyDescent="0.15">
      <c r="A15" s="116">
        <v>1968</v>
      </c>
      <c r="B15" s="159">
        <v>45849</v>
      </c>
      <c r="C15" s="160">
        <v>45859</v>
      </c>
      <c r="D15" s="160">
        <v>45863</v>
      </c>
      <c r="E15" s="160">
        <v>45877</v>
      </c>
      <c r="F15" s="154"/>
      <c r="G15" s="161">
        <v>19726</v>
      </c>
      <c r="H15" s="162">
        <v>19726</v>
      </c>
      <c r="I15" s="154"/>
      <c r="J15" s="154"/>
      <c r="K15" s="154"/>
      <c r="L15" s="154"/>
      <c r="M15" s="154"/>
      <c r="N15" s="154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</row>
    <row r="16" spans="1:39" x14ac:dyDescent="0.15">
      <c r="A16" s="116">
        <v>1969</v>
      </c>
      <c r="B16" s="159">
        <v>45846</v>
      </c>
      <c r="C16" s="160">
        <v>45850</v>
      </c>
      <c r="D16" s="160">
        <v>45857</v>
      </c>
      <c r="E16" s="160">
        <v>45872</v>
      </c>
      <c r="F16" s="154"/>
      <c r="G16" s="161">
        <v>11805</v>
      </c>
      <c r="H16" s="162">
        <v>11805</v>
      </c>
      <c r="I16" s="154"/>
      <c r="J16" s="154"/>
      <c r="K16" s="154"/>
      <c r="L16" s="154"/>
      <c r="M16" s="154"/>
      <c r="N16" s="154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</row>
    <row r="17" spans="1:39" x14ac:dyDescent="0.15">
      <c r="A17" s="116">
        <v>1970</v>
      </c>
      <c r="B17" s="159">
        <v>45844</v>
      </c>
      <c r="C17" s="160">
        <v>45864</v>
      </c>
      <c r="D17" s="160">
        <v>45871</v>
      </c>
      <c r="E17" s="160">
        <v>45881</v>
      </c>
      <c r="F17" s="154"/>
      <c r="G17" s="161">
        <v>8430</v>
      </c>
      <c r="H17" s="162">
        <v>8430</v>
      </c>
      <c r="I17" s="154"/>
      <c r="J17" s="154"/>
      <c r="K17" s="154"/>
      <c r="L17" s="154"/>
      <c r="M17" s="154"/>
      <c r="N17" s="154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</row>
    <row r="18" spans="1:39" x14ac:dyDescent="0.15">
      <c r="A18" s="116">
        <v>1971</v>
      </c>
      <c r="B18" s="159">
        <v>45851</v>
      </c>
      <c r="C18" s="160">
        <v>45858</v>
      </c>
      <c r="D18" s="160">
        <v>45867</v>
      </c>
      <c r="E18" s="160">
        <v>45882</v>
      </c>
      <c r="F18" s="154"/>
      <c r="G18" s="161">
        <v>18523</v>
      </c>
      <c r="H18" s="162">
        <v>18523</v>
      </c>
      <c r="I18" s="154"/>
      <c r="J18" s="154"/>
      <c r="K18" s="154"/>
      <c r="L18" s="154"/>
      <c r="M18" s="154"/>
      <c r="N18" s="154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</row>
    <row r="19" spans="1:39" x14ac:dyDescent="0.15">
      <c r="A19" s="116">
        <v>1972</v>
      </c>
      <c r="B19" s="159">
        <v>45851</v>
      </c>
      <c r="C19" s="160">
        <v>45850</v>
      </c>
      <c r="D19" s="160">
        <v>45857</v>
      </c>
      <c r="E19" s="160">
        <v>45869</v>
      </c>
      <c r="F19" s="159">
        <v>45890</v>
      </c>
      <c r="G19" s="161">
        <v>52454</v>
      </c>
      <c r="H19" s="162">
        <v>52454</v>
      </c>
      <c r="I19" s="154"/>
      <c r="J19" s="154"/>
      <c r="K19" s="154"/>
      <c r="L19" s="154"/>
      <c r="M19" s="154"/>
      <c r="N19" s="154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</row>
    <row r="20" spans="1:39" x14ac:dyDescent="0.15">
      <c r="A20" s="116">
        <v>1973</v>
      </c>
      <c r="B20" s="159">
        <v>45849</v>
      </c>
      <c r="C20" s="160">
        <v>45863</v>
      </c>
      <c r="D20" s="160">
        <v>45869</v>
      </c>
      <c r="E20" s="160">
        <v>45875</v>
      </c>
      <c r="F20" s="159">
        <v>45901</v>
      </c>
      <c r="G20" s="161">
        <v>2864</v>
      </c>
      <c r="H20" s="162">
        <v>2864</v>
      </c>
      <c r="I20" s="154"/>
      <c r="J20" s="154"/>
      <c r="K20" s="154"/>
      <c r="L20" s="154"/>
      <c r="M20" s="154"/>
      <c r="N20" s="154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</row>
    <row r="21" spans="1:39" x14ac:dyDescent="0.15">
      <c r="A21" s="116">
        <v>1974</v>
      </c>
      <c r="B21" s="159">
        <v>45842</v>
      </c>
      <c r="C21" s="160">
        <v>45867</v>
      </c>
      <c r="D21" s="160">
        <v>45873</v>
      </c>
      <c r="E21" s="160">
        <v>45887</v>
      </c>
      <c r="F21" s="159">
        <v>45913</v>
      </c>
      <c r="G21" s="161">
        <v>8101</v>
      </c>
      <c r="H21" s="162">
        <v>8101</v>
      </c>
      <c r="I21" s="154"/>
      <c r="J21" s="154"/>
      <c r="K21" s="154"/>
      <c r="L21" s="154"/>
      <c r="M21" s="154"/>
      <c r="N21" s="154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</row>
    <row r="22" spans="1:39" x14ac:dyDescent="0.15">
      <c r="A22" s="116">
        <v>1975</v>
      </c>
      <c r="B22" s="159">
        <v>45849</v>
      </c>
      <c r="C22" s="160">
        <v>45865</v>
      </c>
      <c r="D22" s="160">
        <v>45878</v>
      </c>
      <c r="E22" s="160">
        <v>45887</v>
      </c>
      <c r="F22" s="159">
        <v>45897</v>
      </c>
      <c r="G22" s="161">
        <v>8159</v>
      </c>
      <c r="H22" s="162">
        <v>8159</v>
      </c>
      <c r="I22" s="154"/>
      <c r="J22" s="154"/>
      <c r="K22" s="154"/>
      <c r="L22" s="154"/>
      <c r="M22" s="154"/>
      <c r="N22" s="154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</row>
    <row r="23" spans="1:39" x14ac:dyDescent="0.15">
      <c r="A23" s="116">
        <v>1976</v>
      </c>
      <c r="B23" s="159">
        <v>45854</v>
      </c>
      <c r="C23" s="160">
        <v>45867</v>
      </c>
      <c r="D23" s="160">
        <v>45871</v>
      </c>
      <c r="E23" s="160">
        <v>45875</v>
      </c>
      <c r="F23" s="159">
        <v>45893</v>
      </c>
      <c r="G23" s="161">
        <v>24111</v>
      </c>
      <c r="H23" s="162">
        <v>24111</v>
      </c>
      <c r="I23" s="154"/>
      <c r="J23" s="154"/>
      <c r="K23" s="154"/>
      <c r="L23" s="154"/>
      <c r="M23" s="154"/>
      <c r="N23" s="154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</row>
    <row r="24" spans="1:39" x14ac:dyDescent="0.15">
      <c r="A24" s="116">
        <v>1977</v>
      </c>
      <c r="B24" s="159">
        <v>45845</v>
      </c>
      <c r="C24" s="160">
        <v>45850</v>
      </c>
      <c r="D24" s="160">
        <v>45855</v>
      </c>
      <c r="E24" s="160">
        <v>45880</v>
      </c>
      <c r="F24" s="159">
        <v>45894</v>
      </c>
      <c r="G24" s="161">
        <v>42960</v>
      </c>
      <c r="H24" s="162">
        <v>42960</v>
      </c>
      <c r="I24" s="154"/>
      <c r="J24" s="154"/>
      <c r="K24" s="154"/>
      <c r="L24" s="154"/>
      <c r="M24" s="154"/>
      <c r="N24" s="154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</row>
    <row r="25" spans="1:39" x14ac:dyDescent="0.15">
      <c r="A25" s="116">
        <v>1978</v>
      </c>
      <c r="B25" s="159">
        <v>45849</v>
      </c>
      <c r="C25" s="160">
        <v>45849</v>
      </c>
      <c r="D25" s="160">
        <v>45859</v>
      </c>
      <c r="E25" s="160">
        <v>45868</v>
      </c>
      <c r="F25" s="159">
        <v>45895</v>
      </c>
      <c r="G25" s="161">
        <v>22788</v>
      </c>
      <c r="H25" s="162">
        <v>22788</v>
      </c>
      <c r="I25" s="154"/>
      <c r="J25" s="154"/>
      <c r="K25" s="154"/>
      <c r="L25" s="154"/>
      <c r="M25" s="154"/>
      <c r="N25" s="154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</row>
    <row r="26" spans="1:39" x14ac:dyDescent="0.15">
      <c r="A26" s="116">
        <v>1979</v>
      </c>
      <c r="B26" s="159">
        <v>45848</v>
      </c>
      <c r="C26" s="160">
        <v>45862</v>
      </c>
      <c r="D26" s="160">
        <v>45871</v>
      </c>
      <c r="E26" s="160">
        <v>45881</v>
      </c>
      <c r="F26" s="159">
        <v>45900</v>
      </c>
      <c r="G26" s="161">
        <v>10211</v>
      </c>
      <c r="H26" s="162">
        <v>10211</v>
      </c>
      <c r="I26" s="154"/>
      <c r="J26" s="154"/>
      <c r="K26" s="154"/>
      <c r="L26" s="154"/>
      <c r="M26" s="154"/>
      <c r="N26" s="154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</row>
    <row r="27" spans="1:39" x14ac:dyDescent="0.15">
      <c r="A27" s="116">
        <v>1980</v>
      </c>
      <c r="B27" s="159">
        <v>45842</v>
      </c>
      <c r="C27" s="160">
        <v>45854</v>
      </c>
      <c r="D27" s="160">
        <v>45863</v>
      </c>
      <c r="E27" s="160">
        <v>45882</v>
      </c>
      <c r="F27" s="159">
        <v>45903</v>
      </c>
      <c r="G27" s="161">
        <v>11018</v>
      </c>
      <c r="H27" s="162">
        <v>11018</v>
      </c>
      <c r="I27" s="154"/>
      <c r="J27" s="154"/>
      <c r="K27" s="154"/>
      <c r="L27" s="154"/>
      <c r="M27" s="154"/>
      <c r="N27" s="154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</row>
    <row r="28" spans="1:39" x14ac:dyDescent="0.15">
      <c r="A28" s="116">
        <v>1981</v>
      </c>
      <c r="B28" s="159">
        <v>45846</v>
      </c>
      <c r="C28" s="160">
        <v>45855</v>
      </c>
      <c r="D28" s="160">
        <v>45863</v>
      </c>
      <c r="E28" s="160">
        <v>45873</v>
      </c>
      <c r="F28" s="159">
        <v>45908</v>
      </c>
      <c r="G28" s="161">
        <v>50790</v>
      </c>
      <c r="H28" s="162">
        <v>50790</v>
      </c>
      <c r="I28" s="154"/>
      <c r="J28" s="154"/>
      <c r="K28" s="154"/>
      <c r="L28" s="154"/>
      <c r="M28" s="154"/>
      <c r="N28" s="154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</row>
    <row r="29" spans="1:39" x14ac:dyDescent="0.15">
      <c r="A29" s="116">
        <v>1982</v>
      </c>
      <c r="B29" s="159">
        <v>45841</v>
      </c>
      <c r="C29" s="160">
        <v>45849</v>
      </c>
      <c r="D29" s="160">
        <v>45858</v>
      </c>
      <c r="E29" s="160">
        <v>45868</v>
      </c>
      <c r="F29" s="159">
        <v>45904</v>
      </c>
      <c r="G29" s="161">
        <v>28257</v>
      </c>
      <c r="H29" s="162">
        <v>28257</v>
      </c>
      <c r="I29" s="154"/>
      <c r="J29" s="154"/>
      <c r="K29" s="154"/>
      <c r="L29" s="154"/>
      <c r="M29" s="154"/>
      <c r="N29" s="154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</row>
    <row r="30" spans="1:39" x14ac:dyDescent="0.15">
      <c r="A30" s="116">
        <v>1983</v>
      </c>
      <c r="B30" s="159">
        <v>45836</v>
      </c>
      <c r="C30" s="160">
        <v>45844</v>
      </c>
      <c r="D30" s="160">
        <v>45861</v>
      </c>
      <c r="E30" s="160">
        <v>45875</v>
      </c>
      <c r="F30" s="159">
        <v>45907</v>
      </c>
      <c r="G30" s="161">
        <v>21256</v>
      </c>
      <c r="H30" s="162">
        <v>21256</v>
      </c>
      <c r="I30" s="154"/>
      <c r="J30" s="154"/>
      <c r="K30" s="154"/>
      <c r="L30" s="154"/>
      <c r="M30" s="154"/>
      <c r="N30" s="154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</row>
    <row r="31" spans="1:39" x14ac:dyDescent="0.15">
      <c r="A31" s="116">
        <v>1984</v>
      </c>
      <c r="B31" s="159">
        <v>45828</v>
      </c>
      <c r="C31" s="160">
        <v>45859</v>
      </c>
      <c r="D31" s="160">
        <v>45864</v>
      </c>
      <c r="E31" s="160">
        <v>45872</v>
      </c>
      <c r="F31" s="159">
        <v>45898</v>
      </c>
      <c r="G31" s="161">
        <v>32777</v>
      </c>
      <c r="H31" s="162">
        <v>32777</v>
      </c>
      <c r="I31" s="154"/>
      <c r="J31" s="154"/>
      <c r="K31" s="154"/>
      <c r="L31" s="154"/>
      <c r="M31" s="154"/>
      <c r="N31" s="154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</row>
    <row r="32" spans="1:39" x14ac:dyDescent="0.15">
      <c r="A32" s="116">
        <v>1985</v>
      </c>
      <c r="B32" s="159">
        <v>45837</v>
      </c>
      <c r="C32" s="160">
        <v>45857</v>
      </c>
      <c r="D32" s="160">
        <v>45871</v>
      </c>
      <c r="E32" s="160">
        <v>45876</v>
      </c>
      <c r="F32" s="159">
        <v>45905</v>
      </c>
      <c r="G32" s="161">
        <v>67326</v>
      </c>
      <c r="H32" s="162">
        <v>67326</v>
      </c>
      <c r="I32" s="154"/>
      <c r="J32" s="154"/>
      <c r="K32" s="154"/>
      <c r="L32" s="154"/>
      <c r="M32" s="154"/>
      <c r="N32" s="154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</row>
    <row r="33" spans="1:39" x14ac:dyDescent="0.15">
      <c r="A33" s="116">
        <v>1986</v>
      </c>
      <c r="B33" s="159">
        <v>45848</v>
      </c>
      <c r="C33" s="160">
        <v>45866</v>
      </c>
      <c r="D33" s="160">
        <v>45873</v>
      </c>
      <c r="E33" s="160">
        <v>45880</v>
      </c>
      <c r="F33" s="159">
        <v>45904</v>
      </c>
      <c r="G33" s="161">
        <v>20280</v>
      </c>
      <c r="H33" s="162">
        <v>20280</v>
      </c>
      <c r="I33" s="154"/>
      <c r="J33" s="154"/>
      <c r="K33" s="154"/>
      <c r="L33" s="154"/>
      <c r="M33" s="154"/>
      <c r="N33" s="154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</row>
    <row r="34" spans="1:39" x14ac:dyDescent="0.15">
      <c r="A34" s="116">
        <v>1987</v>
      </c>
      <c r="B34" s="159">
        <v>45852</v>
      </c>
      <c r="C34" s="160">
        <v>45859</v>
      </c>
      <c r="D34" s="160">
        <v>45873</v>
      </c>
      <c r="E34" s="160">
        <v>45882</v>
      </c>
      <c r="F34" s="159">
        <v>45896</v>
      </c>
      <c r="G34" s="161">
        <v>6958</v>
      </c>
      <c r="H34" s="162">
        <v>6958</v>
      </c>
      <c r="I34" s="154"/>
      <c r="J34" s="154"/>
      <c r="K34" s="154"/>
      <c r="L34" s="154"/>
      <c r="M34" s="154"/>
      <c r="N34" s="154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</row>
    <row r="35" spans="1:39" x14ac:dyDescent="0.15">
      <c r="A35" s="116">
        <v>1988</v>
      </c>
      <c r="B35" s="159">
        <v>45854</v>
      </c>
      <c r="C35" s="160">
        <v>45854</v>
      </c>
      <c r="D35" s="160">
        <v>45875</v>
      </c>
      <c r="E35" s="160">
        <v>45883</v>
      </c>
      <c r="F35" s="159">
        <v>45898</v>
      </c>
      <c r="G35" s="161">
        <v>2536</v>
      </c>
      <c r="H35" s="162">
        <v>2536</v>
      </c>
      <c r="I35" s="154"/>
      <c r="J35" s="154"/>
      <c r="K35" s="154"/>
      <c r="L35" s="154"/>
      <c r="M35" s="154"/>
      <c r="N35" s="154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</row>
    <row r="36" spans="1:39" x14ac:dyDescent="0.15">
      <c r="A36" s="116">
        <v>1989</v>
      </c>
      <c r="B36" s="159">
        <v>45845</v>
      </c>
      <c r="C36" s="160">
        <v>45847</v>
      </c>
      <c r="D36" s="160">
        <v>45870</v>
      </c>
      <c r="E36" s="160">
        <v>45883</v>
      </c>
      <c r="F36" s="159">
        <v>45904</v>
      </c>
      <c r="G36" s="161">
        <v>8316</v>
      </c>
      <c r="H36" s="162">
        <v>8316</v>
      </c>
      <c r="I36" s="161">
        <v>2210</v>
      </c>
      <c r="J36" s="154"/>
      <c r="K36" s="154"/>
      <c r="L36" s="162">
        <v>6106</v>
      </c>
      <c r="M36" s="154"/>
      <c r="N36" s="154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</row>
    <row r="37" spans="1:39" x14ac:dyDescent="0.15">
      <c r="A37" s="116">
        <v>1990</v>
      </c>
      <c r="B37" s="159">
        <v>45844</v>
      </c>
      <c r="C37" s="160">
        <v>45853</v>
      </c>
      <c r="D37" s="160">
        <v>45864</v>
      </c>
      <c r="E37" s="160">
        <v>45872</v>
      </c>
      <c r="F37" s="159">
        <v>45897</v>
      </c>
      <c r="G37" s="161">
        <v>14927</v>
      </c>
      <c r="H37" s="162">
        <v>14927</v>
      </c>
      <c r="I37" s="161">
        <v>3302</v>
      </c>
      <c r="J37" s="154"/>
      <c r="K37" s="154"/>
      <c r="L37" s="162">
        <v>11625</v>
      </c>
      <c r="M37" s="154"/>
      <c r="N37" s="154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</row>
    <row r="38" spans="1:39" x14ac:dyDescent="0.15">
      <c r="A38" s="116">
        <v>1991</v>
      </c>
      <c r="B38" s="159">
        <v>45838</v>
      </c>
      <c r="C38" s="160">
        <v>45855</v>
      </c>
      <c r="D38" s="160">
        <v>45863</v>
      </c>
      <c r="E38" s="160">
        <v>45876</v>
      </c>
      <c r="F38" s="159">
        <v>45905</v>
      </c>
      <c r="G38" s="161">
        <v>50135</v>
      </c>
      <c r="H38" s="162">
        <v>50135</v>
      </c>
      <c r="I38" s="161">
        <v>3552</v>
      </c>
      <c r="J38" s="154"/>
      <c r="K38" s="154"/>
      <c r="L38" s="162">
        <v>46583</v>
      </c>
      <c r="M38" s="154"/>
      <c r="N38" s="154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</row>
    <row r="39" spans="1:39" x14ac:dyDescent="0.15">
      <c r="A39" s="116">
        <v>1992</v>
      </c>
      <c r="B39" s="159">
        <v>45847</v>
      </c>
      <c r="C39" s="160">
        <v>45856</v>
      </c>
      <c r="D39" s="160">
        <v>45863</v>
      </c>
      <c r="E39" s="160">
        <v>45872</v>
      </c>
      <c r="F39" s="159">
        <v>45902</v>
      </c>
      <c r="G39" s="161">
        <v>59907</v>
      </c>
      <c r="H39" s="162">
        <v>59907</v>
      </c>
      <c r="I39" s="161">
        <v>3694</v>
      </c>
      <c r="J39" s="154"/>
      <c r="K39" s="154"/>
      <c r="L39" s="162">
        <v>56213</v>
      </c>
      <c r="M39" s="154"/>
      <c r="N39" s="154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</row>
    <row r="40" spans="1:39" x14ac:dyDescent="0.15">
      <c r="A40" s="116">
        <v>1993</v>
      </c>
      <c r="B40" s="159">
        <v>45845</v>
      </c>
      <c r="C40" s="160">
        <v>45848</v>
      </c>
      <c r="D40" s="160">
        <v>45866</v>
      </c>
      <c r="E40" s="160">
        <v>45879</v>
      </c>
      <c r="F40" s="159">
        <v>45911</v>
      </c>
      <c r="G40" s="161">
        <v>53362</v>
      </c>
      <c r="H40" s="162">
        <v>51610</v>
      </c>
      <c r="I40" s="161">
        <v>4506</v>
      </c>
      <c r="J40" s="161">
        <v>1752</v>
      </c>
      <c r="K40" s="154"/>
      <c r="L40" s="162">
        <v>47104</v>
      </c>
      <c r="M40" s="161">
        <v>1030</v>
      </c>
      <c r="N40" s="161">
        <v>46074</v>
      </c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</row>
    <row r="41" spans="1:39" x14ac:dyDescent="0.15">
      <c r="A41" s="116">
        <v>1994</v>
      </c>
      <c r="B41" s="159">
        <v>45845</v>
      </c>
      <c r="C41" s="160">
        <v>45852</v>
      </c>
      <c r="D41" s="160">
        <v>45868</v>
      </c>
      <c r="E41" s="160">
        <v>45878</v>
      </c>
      <c r="F41" s="159">
        <v>45907</v>
      </c>
      <c r="G41" s="161">
        <v>46363</v>
      </c>
      <c r="H41" s="162">
        <v>39511</v>
      </c>
      <c r="I41" s="161">
        <v>3378</v>
      </c>
      <c r="J41" s="161">
        <v>6852</v>
      </c>
      <c r="K41" s="154"/>
      <c r="L41" s="162">
        <v>36133</v>
      </c>
      <c r="M41" s="161">
        <v>6172</v>
      </c>
      <c r="N41" s="161">
        <v>29961</v>
      </c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</row>
    <row r="42" spans="1:39" x14ac:dyDescent="0.15">
      <c r="A42" s="116">
        <v>1995</v>
      </c>
      <c r="B42" s="159">
        <v>45846</v>
      </c>
      <c r="C42" s="160">
        <v>45847</v>
      </c>
      <c r="D42" s="160">
        <v>45862</v>
      </c>
      <c r="E42" s="160">
        <v>45881</v>
      </c>
      <c r="F42" s="159">
        <v>45916</v>
      </c>
      <c r="G42" s="161">
        <v>42317</v>
      </c>
      <c r="H42" s="162">
        <v>31577</v>
      </c>
      <c r="I42" s="161">
        <v>4902</v>
      </c>
      <c r="J42" s="161">
        <v>10740</v>
      </c>
      <c r="K42" s="154"/>
      <c r="L42" s="162">
        <v>26675</v>
      </c>
      <c r="M42" s="161">
        <v>10084</v>
      </c>
      <c r="N42" s="161">
        <v>16591</v>
      </c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</row>
    <row r="43" spans="1:39" x14ac:dyDescent="0.15">
      <c r="A43" s="116">
        <v>1996</v>
      </c>
      <c r="B43" s="159">
        <v>45844</v>
      </c>
      <c r="C43" s="160">
        <v>45852</v>
      </c>
      <c r="D43" s="160">
        <v>45860</v>
      </c>
      <c r="E43" s="160">
        <v>45873</v>
      </c>
      <c r="F43" s="159">
        <v>45910</v>
      </c>
      <c r="G43" s="161">
        <v>52500</v>
      </c>
      <c r="H43" s="162">
        <v>38161</v>
      </c>
      <c r="I43" s="161">
        <v>4402</v>
      </c>
      <c r="J43" s="161">
        <v>14339</v>
      </c>
      <c r="K43" s="154"/>
      <c r="L43" s="162">
        <v>33759</v>
      </c>
      <c r="M43" s="161">
        <v>3936</v>
      </c>
      <c r="N43" s="161">
        <v>29823</v>
      </c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</row>
    <row r="44" spans="1:39" x14ac:dyDescent="0.15">
      <c r="A44" s="116">
        <v>1997</v>
      </c>
      <c r="B44" s="159">
        <v>45847</v>
      </c>
      <c r="C44" s="160">
        <v>45853</v>
      </c>
      <c r="D44" s="160">
        <v>45863</v>
      </c>
      <c r="E44" s="160">
        <v>45895</v>
      </c>
      <c r="F44" s="159">
        <v>45926</v>
      </c>
      <c r="G44" s="161">
        <v>12483</v>
      </c>
      <c r="H44" s="162">
        <v>12105</v>
      </c>
      <c r="I44" s="161">
        <v>2294</v>
      </c>
      <c r="J44" s="154"/>
      <c r="K44" s="154">
        <v>378</v>
      </c>
      <c r="L44" s="162">
        <v>9811</v>
      </c>
      <c r="M44" s="161">
        <v>1982</v>
      </c>
      <c r="N44" s="161">
        <v>7829</v>
      </c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</row>
    <row r="45" spans="1:39" x14ac:dyDescent="0.15">
      <c r="A45" s="116">
        <v>1998</v>
      </c>
      <c r="B45" s="159">
        <v>45847</v>
      </c>
      <c r="C45" s="160">
        <v>45849</v>
      </c>
      <c r="D45" s="160">
        <v>45863</v>
      </c>
      <c r="E45" s="160">
        <v>45884</v>
      </c>
      <c r="F45" s="159">
        <v>45917</v>
      </c>
      <c r="G45" s="161">
        <v>12658</v>
      </c>
      <c r="H45" s="162">
        <v>12268</v>
      </c>
      <c r="I45" s="161">
        <v>3099</v>
      </c>
      <c r="J45" s="154"/>
      <c r="K45" s="154">
        <v>390</v>
      </c>
      <c r="L45" s="162">
        <v>9169</v>
      </c>
      <c r="M45" s="154">
        <v>616</v>
      </c>
      <c r="N45" s="161">
        <v>8553</v>
      </c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</row>
    <row r="46" spans="1:39" x14ac:dyDescent="0.15">
      <c r="A46" s="116">
        <v>1999</v>
      </c>
      <c r="B46" s="163">
        <v>45848</v>
      </c>
      <c r="C46" s="160">
        <v>45857</v>
      </c>
      <c r="D46" s="160">
        <v>45869</v>
      </c>
      <c r="E46" s="160">
        <v>45882</v>
      </c>
      <c r="F46" s="159">
        <v>45915</v>
      </c>
      <c r="G46" s="161">
        <v>10748</v>
      </c>
      <c r="H46" s="162">
        <v>10319</v>
      </c>
      <c r="I46" s="161">
        <v>2870</v>
      </c>
      <c r="J46" s="154"/>
      <c r="K46" s="154">
        <v>429</v>
      </c>
      <c r="L46" s="162">
        <v>7449</v>
      </c>
      <c r="M46" s="154">
        <v>497</v>
      </c>
      <c r="N46" s="161">
        <v>6952</v>
      </c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</row>
    <row r="47" spans="1:39" x14ac:dyDescent="0.15">
      <c r="A47" s="116">
        <v>2000</v>
      </c>
      <c r="B47" s="163">
        <v>45847</v>
      </c>
      <c r="C47" s="160">
        <v>45859</v>
      </c>
      <c r="D47" s="160">
        <v>45863</v>
      </c>
      <c r="E47" s="160">
        <v>45872</v>
      </c>
      <c r="F47" s="159">
        <v>45904</v>
      </c>
      <c r="G47" s="161">
        <v>6076</v>
      </c>
      <c r="H47" s="162">
        <v>5670</v>
      </c>
      <c r="I47" s="161">
        <v>1717</v>
      </c>
      <c r="J47" s="154"/>
      <c r="K47" s="154">
        <v>406</v>
      </c>
      <c r="L47" s="162">
        <v>3953</v>
      </c>
      <c r="M47" s="154">
        <v>801</v>
      </c>
      <c r="N47" s="161">
        <v>3152</v>
      </c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</row>
    <row r="48" spans="1:39" x14ac:dyDescent="0.15">
      <c r="A48" s="116">
        <v>2001</v>
      </c>
      <c r="B48" s="160">
        <v>45846</v>
      </c>
      <c r="C48" s="160">
        <v>45857</v>
      </c>
      <c r="D48" s="160">
        <v>45869</v>
      </c>
      <c r="E48" s="160">
        <v>45878</v>
      </c>
      <c r="F48" s="160">
        <v>45914</v>
      </c>
      <c r="G48" s="161">
        <v>14811</v>
      </c>
      <c r="H48" s="162">
        <v>14761</v>
      </c>
      <c r="I48" s="161">
        <v>2386</v>
      </c>
      <c r="J48" s="154"/>
      <c r="K48" s="154">
        <v>50</v>
      </c>
      <c r="L48" s="162">
        <v>12375</v>
      </c>
      <c r="M48" s="161">
        <v>4900</v>
      </c>
      <c r="N48" s="161">
        <v>7475</v>
      </c>
      <c r="O48" s="119"/>
      <c r="P48" s="119"/>
      <c r="Q48" s="153"/>
      <c r="R48" s="119"/>
      <c r="S48" s="119"/>
      <c r="T48" s="153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</row>
    <row r="49" spans="1:39" x14ac:dyDescent="0.15">
      <c r="A49" s="116">
        <v>2002</v>
      </c>
      <c r="B49" s="160">
        <v>45845</v>
      </c>
      <c r="C49" s="160">
        <v>45850</v>
      </c>
      <c r="D49" s="160">
        <v>45863</v>
      </c>
      <c r="E49" s="160">
        <v>45877</v>
      </c>
      <c r="F49" s="160">
        <v>45914</v>
      </c>
      <c r="G49" s="161">
        <v>17740</v>
      </c>
      <c r="H49" s="162">
        <v>17340</v>
      </c>
      <c r="I49" s="161">
        <v>3051</v>
      </c>
      <c r="J49" s="154"/>
      <c r="K49" s="154">
        <v>400</v>
      </c>
      <c r="L49" s="162">
        <v>14289</v>
      </c>
      <c r="M49" s="164">
        <v>3799</v>
      </c>
      <c r="N49" s="164">
        <v>10490</v>
      </c>
      <c r="O49" s="119"/>
      <c r="P49" s="119"/>
      <c r="Q49" s="153"/>
      <c r="R49" s="119"/>
      <c r="S49" s="119"/>
      <c r="T49" s="153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</row>
    <row r="50" spans="1:39" x14ac:dyDescent="0.15">
      <c r="A50" s="116">
        <v>2003</v>
      </c>
      <c r="B50" s="160">
        <v>45845</v>
      </c>
      <c r="C50" s="160">
        <v>45849</v>
      </c>
      <c r="D50" s="160">
        <v>45867</v>
      </c>
      <c r="E50" s="160">
        <v>45877</v>
      </c>
      <c r="F50" s="160">
        <v>45918</v>
      </c>
      <c r="G50" s="161">
        <v>53933</v>
      </c>
      <c r="H50" s="162">
        <v>53533</v>
      </c>
      <c r="I50" s="161">
        <v>3946</v>
      </c>
      <c r="J50" s="154"/>
      <c r="K50" s="154">
        <v>400</v>
      </c>
      <c r="L50" s="162">
        <v>49587</v>
      </c>
      <c r="M50" s="161">
        <v>21694</v>
      </c>
      <c r="N50" s="161">
        <v>27893</v>
      </c>
      <c r="O50" s="119"/>
      <c r="P50" s="119"/>
      <c r="Q50" s="153"/>
      <c r="R50" s="119"/>
      <c r="S50" s="119"/>
      <c r="T50" s="153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</row>
    <row r="51" spans="1:39" x14ac:dyDescent="0.15">
      <c r="A51" s="116">
        <v>2004</v>
      </c>
      <c r="B51" s="160">
        <v>45845</v>
      </c>
      <c r="C51" s="160">
        <v>45850</v>
      </c>
      <c r="D51" s="160">
        <v>45863</v>
      </c>
      <c r="E51" s="160">
        <v>45879</v>
      </c>
      <c r="F51" s="160">
        <v>45915</v>
      </c>
      <c r="G51" s="161">
        <v>63372</v>
      </c>
      <c r="H51" s="162">
        <v>62952</v>
      </c>
      <c r="I51" s="161">
        <v>4243</v>
      </c>
      <c r="J51" s="154"/>
      <c r="K51" s="154">
        <v>420</v>
      </c>
      <c r="L51" s="162">
        <v>58709</v>
      </c>
      <c r="M51" s="161">
        <v>29994</v>
      </c>
      <c r="N51" s="161">
        <v>28715</v>
      </c>
      <c r="O51" s="119"/>
      <c r="P51" s="119"/>
      <c r="Q51" s="153"/>
      <c r="R51" s="119"/>
      <c r="S51" s="119"/>
      <c r="T51" s="153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</row>
    <row r="52" spans="1:39" x14ac:dyDescent="0.15">
      <c r="A52" s="116">
        <v>2005</v>
      </c>
      <c r="B52" s="160">
        <v>45846</v>
      </c>
      <c r="C52" s="160">
        <v>45849</v>
      </c>
      <c r="D52" s="160">
        <v>45873</v>
      </c>
      <c r="E52" s="160">
        <v>45894</v>
      </c>
      <c r="F52" s="160">
        <v>45915</v>
      </c>
      <c r="G52" s="161">
        <v>43446</v>
      </c>
      <c r="H52" s="162">
        <v>43046</v>
      </c>
      <c r="I52" s="161">
        <v>3424</v>
      </c>
      <c r="J52" s="154"/>
      <c r="K52" s="154">
        <v>400</v>
      </c>
      <c r="L52" s="162">
        <v>39622</v>
      </c>
      <c r="M52" s="161">
        <v>16420</v>
      </c>
      <c r="N52" s="161">
        <v>23202</v>
      </c>
      <c r="O52" s="119"/>
      <c r="P52" s="119"/>
      <c r="Q52" s="153"/>
      <c r="R52" s="119"/>
      <c r="S52" s="119"/>
      <c r="T52" s="153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</row>
    <row r="53" spans="1:39" x14ac:dyDescent="0.15">
      <c r="A53" s="116">
        <v>2006</v>
      </c>
      <c r="B53" s="160">
        <v>45847</v>
      </c>
      <c r="C53" s="160">
        <v>45850</v>
      </c>
      <c r="D53" s="160">
        <v>45865</v>
      </c>
      <c r="E53" s="160">
        <v>45889</v>
      </c>
      <c r="F53" s="160">
        <v>45913</v>
      </c>
      <c r="G53" s="161">
        <v>53855</v>
      </c>
      <c r="H53" s="162">
        <v>53455</v>
      </c>
      <c r="I53" s="161">
        <v>3403</v>
      </c>
      <c r="J53" s="154"/>
      <c r="K53" s="154">
        <v>400</v>
      </c>
      <c r="L53" s="162">
        <v>50052</v>
      </c>
      <c r="M53" s="161">
        <v>24126</v>
      </c>
      <c r="N53" s="161">
        <v>25926</v>
      </c>
      <c r="O53" s="119"/>
      <c r="P53" s="119"/>
      <c r="Q53" s="153"/>
      <c r="R53" s="119"/>
      <c r="S53" s="119"/>
      <c r="T53" s="153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</row>
    <row r="54" spans="1:39" x14ac:dyDescent="0.15">
      <c r="A54" s="116">
        <v>2007</v>
      </c>
      <c r="B54" s="160">
        <v>45851</v>
      </c>
      <c r="C54" s="160">
        <v>45858</v>
      </c>
      <c r="D54" s="160">
        <v>45877</v>
      </c>
      <c r="E54" s="160">
        <v>45888</v>
      </c>
      <c r="F54" s="160">
        <v>45915</v>
      </c>
      <c r="G54" s="161">
        <v>21074</v>
      </c>
      <c r="H54" s="162">
        <v>20874</v>
      </c>
      <c r="I54" s="161">
        <v>2839</v>
      </c>
      <c r="J54" s="154"/>
      <c r="K54" s="154">
        <v>200</v>
      </c>
      <c r="L54" s="162">
        <v>18035</v>
      </c>
      <c r="M54" s="161">
        <v>7673</v>
      </c>
      <c r="N54" s="161">
        <v>10362</v>
      </c>
      <c r="O54" s="119"/>
      <c r="P54" s="119"/>
      <c r="Q54" s="153"/>
      <c r="R54" s="119"/>
      <c r="S54" s="119"/>
      <c r="T54" s="153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</row>
    <row r="55" spans="1:39" x14ac:dyDescent="0.15">
      <c r="A55" s="116">
        <v>2008</v>
      </c>
      <c r="B55" s="160">
        <v>45845</v>
      </c>
      <c r="C55" s="160">
        <v>45859</v>
      </c>
      <c r="D55" s="160">
        <v>45868</v>
      </c>
      <c r="E55" s="160">
        <v>45879</v>
      </c>
      <c r="F55" s="160">
        <v>45918</v>
      </c>
      <c r="G55" s="161">
        <v>10516</v>
      </c>
      <c r="H55" s="162">
        <v>10416</v>
      </c>
      <c r="I55" s="161">
        <v>2364</v>
      </c>
      <c r="J55" s="154"/>
      <c r="K55" s="154">
        <v>100</v>
      </c>
      <c r="L55" s="162">
        <v>8052</v>
      </c>
      <c r="M55" s="161">
        <v>4143</v>
      </c>
      <c r="N55" s="161">
        <v>3909</v>
      </c>
      <c r="O55" s="119"/>
      <c r="P55" s="119"/>
      <c r="Q55" s="153"/>
      <c r="R55" s="119"/>
      <c r="S55" s="119"/>
      <c r="T55" s="153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</row>
    <row r="56" spans="1:39" x14ac:dyDescent="0.15">
      <c r="A56" s="116">
        <v>2009</v>
      </c>
      <c r="B56" s="160">
        <v>45847</v>
      </c>
      <c r="C56" s="160">
        <v>45851</v>
      </c>
      <c r="D56" s="160">
        <v>45856</v>
      </c>
      <c r="E56" s="160">
        <v>45872</v>
      </c>
      <c r="F56" s="160">
        <v>45914</v>
      </c>
      <c r="G56" s="161">
        <v>30673</v>
      </c>
      <c r="H56" s="162">
        <v>30324</v>
      </c>
      <c r="I56" s="161">
        <v>3011</v>
      </c>
      <c r="J56" s="154"/>
      <c r="K56" s="154">
        <v>349</v>
      </c>
      <c r="L56" s="162">
        <v>27313</v>
      </c>
      <c r="M56" s="161">
        <v>4041</v>
      </c>
      <c r="N56" s="161">
        <v>23272</v>
      </c>
      <c r="O56" s="119"/>
      <c r="P56" s="119"/>
      <c r="Q56" s="153"/>
      <c r="R56" s="119"/>
      <c r="S56" s="119"/>
      <c r="T56" s="153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</row>
    <row r="57" spans="1:39" x14ac:dyDescent="0.15">
      <c r="A57" s="116">
        <v>2010</v>
      </c>
      <c r="B57" s="160">
        <v>45848</v>
      </c>
      <c r="C57" s="160">
        <v>45848</v>
      </c>
      <c r="D57" s="160">
        <v>45867</v>
      </c>
      <c r="E57" s="160">
        <v>45881</v>
      </c>
      <c r="F57" s="160">
        <v>45910</v>
      </c>
      <c r="G57" s="161">
        <v>22860</v>
      </c>
      <c r="H57" s="162">
        <v>22702</v>
      </c>
      <c r="I57" s="161">
        <v>4484</v>
      </c>
      <c r="J57" s="154"/>
      <c r="K57" s="154">
        <v>158</v>
      </c>
      <c r="L57" s="162">
        <v>18218</v>
      </c>
      <c r="M57" s="161">
        <v>7789</v>
      </c>
      <c r="N57" s="161">
        <v>10429</v>
      </c>
      <c r="O57" s="119"/>
      <c r="P57" s="119"/>
      <c r="Q57" s="153"/>
      <c r="R57" s="119"/>
      <c r="S57" s="119"/>
      <c r="T57" s="153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</row>
    <row r="58" spans="1:39" x14ac:dyDescent="0.15">
      <c r="A58" s="116">
        <v>2011</v>
      </c>
      <c r="B58" s="160">
        <v>45847</v>
      </c>
      <c r="C58" s="160">
        <v>45851</v>
      </c>
      <c r="D58" s="160">
        <v>45856</v>
      </c>
      <c r="E58" s="160">
        <v>45876</v>
      </c>
      <c r="F58" s="160">
        <v>45901</v>
      </c>
      <c r="G58" s="161">
        <v>34588</v>
      </c>
      <c r="H58" s="162">
        <v>34248</v>
      </c>
      <c r="I58" s="161">
        <v>4559</v>
      </c>
      <c r="J58" s="154"/>
      <c r="K58" s="154">
        <v>340</v>
      </c>
      <c r="L58" s="162">
        <v>29689</v>
      </c>
      <c r="M58" s="161">
        <v>10248</v>
      </c>
      <c r="N58" s="161">
        <v>19441</v>
      </c>
      <c r="O58" s="119"/>
      <c r="P58" s="119"/>
      <c r="Q58" s="153"/>
      <c r="R58" s="119"/>
      <c r="S58" s="119"/>
      <c r="T58" s="153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</row>
    <row r="59" spans="1:39" x14ac:dyDescent="0.15">
      <c r="A59" s="116">
        <v>2012</v>
      </c>
      <c r="B59" s="160">
        <v>45847</v>
      </c>
      <c r="C59" s="160">
        <v>45854</v>
      </c>
      <c r="D59" s="160">
        <v>45862</v>
      </c>
      <c r="E59" s="160">
        <v>45877</v>
      </c>
      <c r="F59" s="160">
        <v>45898</v>
      </c>
      <c r="G59" s="161">
        <v>13687</v>
      </c>
      <c r="H59" s="162">
        <v>13463</v>
      </c>
      <c r="I59" s="161">
        <v>3949</v>
      </c>
      <c r="J59" s="154"/>
      <c r="K59" s="154">
        <v>224</v>
      </c>
      <c r="L59" s="162">
        <v>9514</v>
      </c>
      <c r="M59" s="161">
        <v>3928</v>
      </c>
      <c r="N59" s="161">
        <v>5586</v>
      </c>
      <c r="O59" s="119"/>
      <c r="P59" s="119"/>
      <c r="Q59" s="153"/>
      <c r="R59" s="119"/>
      <c r="S59" s="119"/>
      <c r="T59" s="153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</row>
    <row r="60" spans="1:39" x14ac:dyDescent="0.15">
      <c r="A60" s="116">
        <v>2013</v>
      </c>
      <c r="B60" s="160">
        <v>45845</v>
      </c>
      <c r="C60" s="160">
        <v>45854</v>
      </c>
      <c r="D60" s="160">
        <v>45858</v>
      </c>
      <c r="E60" s="160">
        <v>45871</v>
      </c>
      <c r="F60" s="160">
        <v>45910</v>
      </c>
      <c r="G60" s="161">
        <v>15828</v>
      </c>
      <c r="H60" s="162">
        <v>15828</v>
      </c>
      <c r="I60" s="161">
        <v>3196</v>
      </c>
      <c r="J60" s="154"/>
      <c r="K60" s="154">
        <v>0</v>
      </c>
      <c r="L60" s="162">
        <v>12632</v>
      </c>
      <c r="M60" s="161">
        <v>6383</v>
      </c>
      <c r="N60" s="161">
        <v>6249</v>
      </c>
      <c r="O60" s="119"/>
      <c r="P60" s="119"/>
      <c r="Q60" s="153"/>
      <c r="R60" s="119"/>
      <c r="S60" s="119"/>
      <c r="T60" s="153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</row>
    <row r="61" spans="1:39" x14ac:dyDescent="0.15">
      <c r="A61" s="116">
        <v>2014</v>
      </c>
      <c r="B61" s="160">
        <v>45854</v>
      </c>
      <c r="C61" s="160">
        <v>45860</v>
      </c>
      <c r="D61" s="160">
        <v>45863</v>
      </c>
      <c r="E61" s="160">
        <v>45871</v>
      </c>
      <c r="F61" s="160">
        <v>45911</v>
      </c>
      <c r="G61" s="161">
        <v>40145</v>
      </c>
      <c r="H61" s="162">
        <v>39745</v>
      </c>
      <c r="I61" s="161">
        <v>2881</v>
      </c>
      <c r="J61" s="154"/>
      <c r="K61" s="154">
        <v>400</v>
      </c>
      <c r="L61" s="162">
        <v>36864</v>
      </c>
      <c r="M61" s="161">
        <v>17376</v>
      </c>
      <c r="N61" s="161">
        <v>19488</v>
      </c>
      <c r="O61" s="165">
        <v>3494</v>
      </c>
      <c r="P61" s="165">
        <v>1656</v>
      </c>
      <c r="Q61" s="166">
        <v>1838</v>
      </c>
      <c r="R61" s="119"/>
      <c r="S61" s="119"/>
      <c r="T61" s="8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</row>
    <row r="62" spans="1:39" x14ac:dyDescent="0.15">
      <c r="A62" s="116">
        <v>2015</v>
      </c>
      <c r="B62" s="160">
        <v>45847</v>
      </c>
      <c r="C62" s="160">
        <v>45853</v>
      </c>
      <c r="D62" s="160">
        <v>45876</v>
      </c>
      <c r="E62" s="160">
        <v>45892</v>
      </c>
      <c r="F62" s="160">
        <v>45913</v>
      </c>
      <c r="G62" s="161">
        <v>33159</v>
      </c>
      <c r="H62" s="162">
        <v>33159</v>
      </c>
      <c r="I62" s="161">
        <v>3871</v>
      </c>
      <c r="J62" s="154"/>
      <c r="K62" s="154">
        <v>0</v>
      </c>
      <c r="L62" s="162">
        <v>29288</v>
      </c>
      <c r="M62" s="161">
        <v>14312</v>
      </c>
      <c r="N62" s="161">
        <v>14976</v>
      </c>
      <c r="O62" s="119"/>
      <c r="P62" s="119"/>
      <c r="Q62" s="89"/>
      <c r="R62" s="119"/>
      <c r="S62" s="119"/>
      <c r="T62" s="8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</row>
    <row r="63" spans="1:39" x14ac:dyDescent="0.15">
      <c r="A63" s="116">
        <v>2016</v>
      </c>
      <c r="B63" s="160">
        <v>45845</v>
      </c>
      <c r="C63" s="160">
        <v>45849</v>
      </c>
      <c r="D63" s="160">
        <v>45874</v>
      </c>
      <c r="E63" s="160">
        <v>45891</v>
      </c>
      <c r="F63" s="160">
        <v>45912</v>
      </c>
      <c r="G63" s="161">
        <v>38631</v>
      </c>
      <c r="H63" s="162">
        <v>38458</v>
      </c>
      <c r="I63" s="161">
        <v>4315</v>
      </c>
      <c r="J63" s="154"/>
      <c r="K63" s="154">
        <v>173</v>
      </c>
      <c r="L63" s="162">
        <v>34146</v>
      </c>
      <c r="M63" s="161">
        <v>13245</v>
      </c>
      <c r="N63" s="161">
        <v>20901</v>
      </c>
      <c r="O63" s="119"/>
      <c r="P63" s="119"/>
      <c r="Q63" s="89"/>
      <c r="R63" s="119"/>
      <c r="S63" s="119"/>
      <c r="T63" s="8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</row>
    <row r="64" spans="1:39" x14ac:dyDescent="0.15">
      <c r="A64" s="116">
        <v>2017</v>
      </c>
      <c r="B64" s="160">
        <v>45845</v>
      </c>
      <c r="C64" s="160">
        <v>45852</v>
      </c>
      <c r="D64" s="160">
        <v>45874</v>
      </c>
      <c r="E64" s="160">
        <v>45900</v>
      </c>
      <c r="F64" s="160">
        <v>45918</v>
      </c>
      <c r="G64" s="161">
        <v>19241</v>
      </c>
      <c r="H64" s="162">
        <v>19241</v>
      </c>
      <c r="I64" s="161">
        <v>2909</v>
      </c>
      <c r="J64" s="154"/>
      <c r="K64" s="154">
        <v>0</v>
      </c>
      <c r="L64" s="162">
        <v>16332</v>
      </c>
      <c r="M64" s="161">
        <v>8525</v>
      </c>
      <c r="N64" s="161">
        <v>7807</v>
      </c>
      <c r="O64" s="119"/>
      <c r="P64" s="119"/>
      <c r="Q64" s="89"/>
      <c r="R64" s="119"/>
      <c r="S64" s="119"/>
      <c r="T64" s="8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</row>
    <row r="65" spans="1:39" x14ac:dyDescent="0.15">
      <c r="A65" s="116">
        <v>2018</v>
      </c>
      <c r="B65" s="160">
        <v>45845</v>
      </c>
      <c r="C65" s="160">
        <v>45853</v>
      </c>
      <c r="D65" s="154"/>
      <c r="E65" s="154"/>
      <c r="F65" s="160">
        <v>45909</v>
      </c>
      <c r="G65" s="161">
        <v>9854</v>
      </c>
      <c r="H65" s="162">
        <v>16350</v>
      </c>
      <c r="I65" s="161">
        <v>1878</v>
      </c>
      <c r="J65" s="154"/>
      <c r="K65" s="154">
        <v>207</v>
      </c>
      <c r="L65" s="162">
        <v>14472</v>
      </c>
      <c r="M65" s="161">
        <v>7210</v>
      </c>
      <c r="N65" s="161">
        <v>7262</v>
      </c>
      <c r="O65" s="119"/>
      <c r="P65" s="119"/>
      <c r="Q65" s="89"/>
      <c r="R65" s="165">
        <v>6703</v>
      </c>
      <c r="S65" s="165">
        <v>4660</v>
      </c>
      <c r="T65" s="166">
        <v>4694</v>
      </c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</row>
    <row r="66" spans="1:39" x14ac:dyDescent="0.15">
      <c r="A66" s="116">
        <v>2019</v>
      </c>
      <c r="B66" s="160">
        <v>45845</v>
      </c>
      <c r="C66" s="160">
        <v>45851</v>
      </c>
      <c r="D66" s="160">
        <v>45868</v>
      </c>
      <c r="E66" s="160">
        <v>45881</v>
      </c>
      <c r="F66" s="160">
        <v>45910</v>
      </c>
      <c r="G66" s="161">
        <v>36999</v>
      </c>
      <c r="H66" s="162">
        <v>36787</v>
      </c>
      <c r="I66" s="161">
        <v>3579</v>
      </c>
      <c r="J66" s="154"/>
      <c r="K66" s="154">
        <v>212</v>
      </c>
      <c r="L66" s="162">
        <v>33208</v>
      </c>
      <c r="M66" s="161">
        <v>19037</v>
      </c>
      <c r="N66" s="161">
        <v>14171</v>
      </c>
      <c r="O66" s="119"/>
      <c r="P66" s="119"/>
      <c r="Q66" s="89"/>
      <c r="R66" s="119"/>
      <c r="S66" s="119"/>
      <c r="T66" s="8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</row>
    <row r="67" spans="1:39" x14ac:dyDescent="0.15">
      <c r="A67" s="116">
        <v>2020</v>
      </c>
      <c r="B67" s="160">
        <v>45845</v>
      </c>
      <c r="C67" s="160">
        <v>45860</v>
      </c>
      <c r="D67" s="160">
        <v>45877</v>
      </c>
      <c r="E67" s="160">
        <v>45888</v>
      </c>
      <c r="F67" s="160">
        <v>45911</v>
      </c>
      <c r="G67" s="161">
        <v>11158</v>
      </c>
      <c r="H67" s="162">
        <v>11158</v>
      </c>
      <c r="I67" s="154">
        <v>384</v>
      </c>
      <c r="J67" s="154"/>
      <c r="K67" s="154">
        <v>0</v>
      </c>
      <c r="L67" s="162">
        <v>10774</v>
      </c>
      <c r="M67" s="161">
        <v>6254</v>
      </c>
      <c r="N67" s="161">
        <v>4520</v>
      </c>
      <c r="O67" s="119"/>
      <c r="P67" s="119"/>
      <c r="Q67" s="89"/>
      <c r="R67" s="119"/>
      <c r="S67" s="119"/>
      <c r="T67" s="8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</row>
    <row r="68" spans="1:39" x14ac:dyDescent="0.15">
      <c r="A68" s="116">
        <v>2021</v>
      </c>
      <c r="B68" s="160">
        <v>45845</v>
      </c>
      <c r="C68" s="160">
        <v>45858</v>
      </c>
      <c r="D68" s="160">
        <v>45869</v>
      </c>
      <c r="E68" s="160">
        <v>45882</v>
      </c>
      <c r="F68" s="160">
        <v>45913</v>
      </c>
      <c r="G68" s="161">
        <v>43246</v>
      </c>
      <c r="H68" s="162">
        <v>42846</v>
      </c>
      <c r="I68" s="161">
        <v>1217</v>
      </c>
      <c r="J68" s="154"/>
      <c r="K68" s="154">
        <v>400</v>
      </c>
      <c r="L68" s="162">
        <v>41629</v>
      </c>
      <c r="M68" s="161">
        <v>26460</v>
      </c>
      <c r="N68" s="161">
        <v>15169</v>
      </c>
      <c r="O68" s="119"/>
      <c r="P68" s="119"/>
      <c r="Q68" s="89"/>
      <c r="R68" s="119"/>
      <c r="S68" s="119"/>
      <c r="T68" s="8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</row>
    <row r="69" spans="1:39" x14ac:dyDescent="0.15">
      <c r="A69" s="116">
        <v>2022</v>
      </c>
      <c r="B69" s="160">
        <v>45848</v>
      </c>
      <c r="C69" s="160">
        <v>45860</v>
      </c>
      <c r="D69" s="160">
        <v>45863</v>
      </c>
      <c r="E69" s="160">
        <v>45871</v>
      </c>
      <c r="F69" s="160">
        <v>45915</v>
      </c>
      <c r="G69" s="161">
        <v>53172</v>
      </c>
      <c r="H69" s="162">
        <v>52772</v>
      </c>
      <c r="I69" s="161">
        <v>1624</v>
      </c>
      <c r="J69" s="154"/>
      <c r="K69" s="154">
        <v>400</v>
      </c>
      <c r="L69" s="162">
        <v>51148</v>
      </c>
      <c r="M69" s="161">
        <v>40724</v>
      </c>
      <c r="N69" s="161">
        <v>10424</v>
      </c>
      <c r="O69" s="119"/>
      <c r="P69" s="119"/>
      <c r="Q69" s="89"/>
      <c r="R69" s="119"/>
      <c r="S69" s="119"/>
      <c r="T69" s="8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</row>
    <row r="70" spans="1:39" x14ac:dyDescent="0.15">
      <c r="A70" s="116">
        <v>2023</v>
      </c>
      <c r="B70" s="160">
        <v>45847</v>
      </c>
      <c r="C70" s="160">
        <v>45851</v>
      </c>
      <c r="D70" s="160">
        <v>45863</v>
      </c>
      <c r="E70" s="160">
        <v>45889</v>
      </c>
      <c r="F70" s="160">
        <v>45920</v>
      </c>
      <c r="G70" s="161">
        <v>37759</v>
      </c>
      <c r="H70" s="162">
        <v>37359</v>
      </c>
      <c r="I70" s="161">
        <v>1974</v>
      </c>
      <c r="J70" s="154"/>
      <c r="K70" s="154">
        <v>400</v>
      </c>
      <c r="L70" s="162">
        <v>35385</v>
      </c>
      <c r="M70" s="161">
        <v>24805</v>
      </c>
      <c r="N70" s="161">
        <v>10580</v>
      </c>
      <c r="O70" s="119"/>
      <c r="P70" s="119"/>
      <c r="Q70" s="89"/>
      <c r="R70" s="119"/>
      <c r="S70" s="119"/>
      <c r="T70" s="8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</row>
    <row r="71" spans="1:39" x14ac:dyDescent="0.15">
      <c r="A71" s="110">
        <v>2024</v>
      </c>
      <c r="B71" s="167">
        <v>45846</v>
      </c>
      <c r="C71" s="167">
        <v>45853</v>
      </c>
      <c r="D71" s="167">
        <v>45868</v>
      </c>
      <c r="E71" s="167">
        <v>45881</v>
      </c>
      <c r="F71" s="167">
        <v>45914</v>
      </c>
      <c r="G71" s="168">
        <v>78419</v>
      </c>
      <c r="H71" s="168">
        <v>78019</v>
      </c>
      <c r="I71" s="168">
        <v>1634</v>
      </c>
      <c r="J71" s="157"/>
      <c r="K71" s="169">
        <v>400</v>
      </c>
      <c r="L71" s="168">
        <v>76385</v>
      </c>
      <c r="M71" s="168">
        <v>21311</v>
      </c>
      <c r="N71" s="168">
        <v>55074</v>
      </c>
      <c r="O71" s="146"/>
      <c r="P71" s="146"/>
      <c r="Q71" s="104"/>
      <c r="R71" s="146"/>
      <c r="S71" s="146"/>
      <c r="T71" s="104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</row>
    <row r="72" spans="1:39" x14ac:dyDescent="0.15">
      <c r="A72" s="116" t="s">
        <v>24</v>
      </c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</row>
    <row r="73" spans="1:39" x14ac:dyDescent="0.15">
      <c r="A73" s="117" t="s">
        <v>354</v>
      </c>
      <c r="B73" s="170">
        <v>45847</v>
      </c>
      <c r="C73" s="170">
        <v>45856</v>
      </c>
      <c r="D73" s="170">
        <v>45868</v>
      </c>
      <c r="E73" s="170">
        <v>45880</v>
      </c>
      <c r="F73" s="170">
        <v>45907</v>
      </c>
      <c r="G73" s="162">
        <v>25917</v>
      </c>
      <c r="H73" s="162">
        <v>25390</v>
      </c>
      <c r="I73" s="171"/>
      <c r="J73" s="171"/>
      <c r="K73" s="171"/>
      <c r="L73" s="171"/>
      <c r="M73" s="171"/>
      <c r="N73" s="171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</row>
    <row r="74" spans="1:39" x14ac:dyDescent="0.15">
      <c r="A74" s="118" t="s">
        <v>302</v>
      </c>
      <c r="B74" s="172">
        <v>45846</v>
      </c>
      <c r="C74" s="172">
        <v>45854</v>
      </c>
      <c r="D74" s="172">
        <v>45869</v>
      </c>
      <c r="E74" s="172">
        <v>45885</v>
      </c>
      <c r="F74" s="172">
        <v>45913</v>
      </c>
      <c r="G74" s="168">
        <v>32336</v>
      </c>
      <c r="H74" s="168">
        <v>32788</v>
      </c>
      <c r="I74" s="168">
        <v>2463</v>
      </c>
      <c r="J74" s="169"/>
      <c r="K74" s="169">
        <v>219</v>
      </c>
      <c r="L74" s="168">
        <v>30325</v>
      </c>
      <c r="M74" s="168">
        <v>17795</v>
      </c>
      <c r="N74" s="168">
        <v>12530</v>
      </c>
      <c r="O74" s="146"/>
      <c r="P74" s="146"/>
      <c r="Q74" s="146"/>
      <c r="R74" s="146"/>
      <c r="S74" s="146"/>
      <c r="T74" s="146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</row>
  </sheetData>
  <mergeCells count="4">
    <mergeCell ref="L4:N4"/>
    <mergeCell ref="O4:Q4"/>
    <mergeCell ref="R4:T4"/>
    <mergeCell ref="C4:E4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8D0A-0FAA-4167-8616-7B9173423279}">
  <dimension ref="A1:AM52"/>
  <sheetViews>
    <sheetView topLeftCell="A21" workbookViewId="0">
      <selection activeCell="H33" sqref="H33"/>
    </sheetView>
  </sheetViews>
  <sheetFormatPr baseColWidth="10" defaultColWidth="8.83203125" defaultRowHeight="15" x14ac:dyDescent="0.2"/>
  <cols>
    <col min="2" max="2" width="9" bestFit="1" customWidth="1"/>
    <col min="3" max="5" width="10.5" bestFit="1" customWidth="1"/>
    <col min="8" max="8" width="14.33203125" customWidth="1"/>
  </cols>
  <sheetData>
    <row r="1" spans="1:14" x14ac:dyDescent="0.2">
      <c r="A1" t="s">
        <v>281</v>
      </c>
    </row>
    <row r="2" spans="1:14" x14ac:dyDescent="0.2">
      <c r="D2" t="s">
        <v>246</v>
      </c>
      <c r="M2" s="45" t="s">
        <v>250</v>
      </c>
      <c r="N2" s="45"/>
    </row>
    <row r="3" spans="1:14" ht="28" x14ac:dyDescent="0.2">
      <c r="A3" s="52" t="s">
        <v>10</v>
      </c>
      <c r="B3" s="53" t="s">
        <v>245</v>
      </c>
      <c r="C3" s="54" t="s">
        <v>282</v>
      </c>
      <c r="D3" s="55">
        <v>0.5</v>
      </c>
      <c r="E3" s="55">
        <v>0.9</v>
      </c>
      <c r="F3" s="56" t="s">
        <v>247</v>
      </c>
      <c r="G3" s="53" t="s">
        <v>248</v>
      </c>
      <c r="H3" s="57" t="s">
        <v>249</v>
      </c>
      <c r="I3" s="58" t="s">
        <v>147</v>
      </c>
      <c r="J3" s="53" t="s">
        <v>283</v>
      </c>
      <c r="K3" s="59"/>
      <c r="L3" s="59"/>
      <c r="M3" t="s">
        <v>147</v>
      </c>
    </row>
    <row r="4" spans="1:14" x14ac:dyDescent="0.2">
      <c r="A4" s="60">
        <v>1984</v>
      </c>
      <c r="B4" s="50">
        <v>44326</v>
      </c>
      <c r="C4" s="51">
        <v>44327</v>
      </c>
      <c r="D4" s="51">
        <v>44339</v>
      </c>
      <c r="E4" s="51">
        <v>44353</v>
      </c>
      <c r="F4" s="61"/>
      <c r="G4" s="62">
        <v>218702</v>
      </c>
      <c r="H4" s="61"/>
      <c r="I4" s="61"/>
      <c r="J4" s="61"/>
      <c r="K4" s="59"/>
      <c r="L4" s="59"/>
      <c r="M4" s="46">
        <f>G4</f>
        <v>218702</v>
      </c>
    </row>
    <row r="5" spans="1:14" x14ac:dyDescent="0.2">
      <c r="A5" s="63">
        <v>1985</v>
      </c>
      <c r="B5" s="50">
        <v>44311</v>
      </c>
      <c r="C5" s="51">
        <v>44339</v>
      </c>
      <c r="D5" s="51">
        <v>44347</v>
      </c>
      <c r="E5" s="51">
        <v>44344</v>
      </c>
      <c r="F5" s="64"/>
      <c r="G5" s="65">
        <v>613531</v>
      </c>
      <c r="H5" s="64"/>
      <c r="I5" s="64"/>
      <c r="J5" s="64"/>
      <c r="K5" s="59"/>
      <c r="L5" s="59"/>
      <c r="M5" s="46">
        <f t="shared" ref="M5:M10" si="0">G5</f>
        <v>613531</v>
      </c>
    </row>
    <row r="6" spans="1:14" x14ac:dyDescent="0.2">
      <c r="A6" s="63">
        <v>1986</v>
      </c>
      <c r="B6" s="50">
        <v>44324</v>
      </c>
      <c r="C6" s="51">
        <v>44326</v>
      </c>
      <c r="D6" s="51">
        <v>44347</v>
      </c>
      <c r="E6" s="51">
        <v>44354</v>
      </c>
      <c r="F6" s="64"/>
      <c r="G6" s="65">
        <v>244330</v>
      </c>
      <c r="H6" s="64"/>
      <c r="I6" s="64"/>
      <c r="J6" s="64"/>
      <c r="K6" s="59"/>
      <c r="L6" s="59"/>
      <c r="M6" s="46">
        <f t="shared" si="0"/>
        <v>244330</v>
      </c>
    </row>
    <row r="7" spans="1:14" ht="16" x14ac:dyDescent="0.2">
      <c r="A7" s="66" t="s">
        <v>287</v>
      </c>
      <c r="B7" s="50">
        <v>44323</v>
      </c>
      <c r="C7" s="51">
        <v>44331</v>
      </c>
      <c r="D7" s="51">
        <v>44339</v>
      </c>
      <c r="E7" s="51">
        <v>44340</v>
      </c>
      <c r="F7" s="64"/>
      <c r="G7" s="65">
        <v>810432</v>
      </c>
      <c r="H7" s="64"/>
      <c r="I7" s="64"/>
      <c r="J7" s="64"/>
      <c r="K7" s="59"/>
      <c r="L7" s="59"/>
      <c r="M7" s="46">
        <f t="shared" si="0"/>
        <v>810432</v>
      </c>
    </row>
    <row r="8" spans="1:14" x14ac:dyDescent="0.2">
      <c r="A8" s="63">
        <v>1988</v>
      </c>
      <c r="B8" s="50">
        <v>44317</v>
      </c>
      <c r="C8" s="51">
        <v>44324</v>
      </c>
      <c r="D8" s="51">
        <v>44336</v>
      </c>
      <c r="E8" s="51">
        <v>44353</v>
      </c>
      <c r="F8" s="64"/>
      <c r="G8" s="65">
        <v>1170136</v>
      </c>
      <c r="H8" s="64"/>
      <c r="I8" s="64"/>
      <c r="J8" s="64"/>
      <c r="K8" s="59"/>
      <c r="L8" s="59"/>
      <c r="M8" s="46">
        <f t="shared" si="0"/>
        <v>1170136</v>
      </c>
    </row>
    <row r="9" spans="1:14" x14ac:dyDescent="0.2">
      <c r="A9" s="63">
        <v>1989</v>
      </c>
      <c r="B9" s="50">
        <v>44323</v>
      </c>
      <c r="C9" s="51">
        <v>44324</v>
      </c>
      <c r="D9" s="51">
        <v>44338</v>
      </c>
      <c r="E9" s="51">
        <v>44353</v>
      </c>
      <c r="F9" s="64"/>
      <c r="G9" s="65">
        <v>580574</v>
      </c>
      <c r="H9" s="64"/>
      <c r="I9" s="64"/>
      <c r="J9" s="64"/>
      <c r="K9" s="59"/>
      <c r="L9" s="59"/>
      <c r="M9" s="46">
        <f t="shared" si="0"/>
        <v>580574</v>
      </c>
    </row>
    <row r="10" spans="1:14" ht="16" x14ac:dyDescent="0.2">
      <c r="A10" s="66" t="s">
        <v>288</v>
      </c>
      <c r="B10" s="50">
        <v>44321</v>
      </c>
      <c r="C10" s="51">
        <v>44331</v>
      </c>
      <c r="D10" s="51">
        <v>44345</v>
      </c>
      <c r="E10" s="51">
        <v>44352</v>
      </c>
      <c r="F10" s="65">
        <v>595147</v>
      </c>
      <c r="G10" s="65">
        <v>610407</v>
      </c>
      <c r="H10" s="68" t="s">
        <v>284</v>
      </c>
      <c r="I10" s="64"/>
      <c r="J10" s="64"/>
      <c r="K10" s="59"/>
      <c r="L10" s="59"/>
      <c r="M10" s="46">
        <f t="shared" si="0"/>
        <v>610407</v>
      </c>
    </row>
    <row r="11" spans="1:14" ht="16" x14ac:dyDescent="0.2">
      <c r="A11" s="66" t="s">
        <v>289</v>
      </c>
      <c r="B11" s="50">
        <v>44324</v>
      </c>
      <c r="C11" s="51">
        <v>44330</v>
      </c>
      <c r="D11" s="51">
        <v>44337</v>
      </c>
      <c r="E11" s="51">
        <v>44346</v>
      </c>
      <c r="F11" s="65">
        <v>1439676</v>
      </c>
      <c r="G11" s="65">
        <v>1487265</v>
      </c>
      <c r="H11" s="68" t="s">
        <v>285</v>
      </c>
      <c r="I11" s="69">
        <v>1220397</v>
      </c>
      <c r="J11" s="65">
        <v>266868</v>
      </c>
      <c r="K11" s="59"/>
      <c r="L11" s="59"/>
      <c r="M11" s="46">
        <f>I11</f>
        <v>1220397</v>
      </c>
    </row>
    <row r="12" spans="1:14" ht="16" x14ac:dyDescent="0.2">
      <c r="A12" s="66" t="s">
        <v>290</v>
      </c>
      <c r="B12" s="50">
        <v>44323</v>
      </c>
      <c r="C12" s="51">
        <v>44329</v>
      </c>
      <c r="D12" s="51">
        <v>44337</v>
      </c>
      <c r="E12" s="51">
        <v>44343</v>
      </c>
      <c r="F12" s="65">
        <v>1516150</v>
      </c>
      <c r="G12" s="65">
        <v>1555026</v>
      </c>
      <c r="H12" s="68" t="s">
        <v>284</v>
      </c>
      <c r="I12" s="69">
        <v>750702</v>
      </c>
      <c r="J12" s="65">
        <v>804324</v>
      </c>
      <c r="K12" s="59"/>
      <c r="L12" s="59"/>
      <c r="M12" s="46">
        <f t="shared" ref="M12:M41" si="1">I12</f>
        <v>750702</v>
      </c>
    </row>
    <row r="13" spans="1:14" x14ac:dyDescent="0.2">
      <c r="A13" s="63">
        <v>1993</v>
      </c>
      <c r="B13" s="50">
        <v>44323</v>
      </c>
      <c r="C13" s="51">
        <v>44327</v>
      </c>
      <c r="D13" s="51">
        <v>44333</v>
      </c>
      <c r="E13" s="51">
        <v>44338</v>
      </c>
      <c r="F13" s="64"/>
      <c r="G13" s="65">
        <v>3255045</v>
      </c>
      <c r="H13" s="64"/>
      <c r="I13" s="69">
        <v>2855562</v>
      </c>
      <c r="J13" s="65">
        <v>399483</v>
      </c>
      <c r="K13" s="59"/>
      <c r="L13" s="59"/>
      <c r="M13" s="46">
        <f t="shared" si="1"/>
        <v>2855562</v>
      </c>
    </row>
    <row r="14" spans="1:14" x14ac:dyDescent="0.2">
      <c r="A14" s="63">
        <v>1994</v>
      </c>
      <c r="B14" s="50">
        <v>44322</v>
      </c>
      <c r="C14" s="51">
        <v>44324</v>
      </c>
      <c r="D14" s="51">
        <v>44332</v>
      </c>
      <c r="E14" s="51">
        <v>44359</v>
      </c>
      <c r="F14" s="64"/>
      <c r="G14" s="65">
        <v>915119</v>
      </c>
      <c r="H14" s="64"/>
      <c r="I14" s="69">
        <v>620809</v>
      </c>
      <c r="J14" s="65">
        <v>294310</v>
      </c>
      <c r="K14" s="59"/>
      <c r="L14" s="59"/>
      <c r="M14" s="46">
        <f t="shared" si="1"/>
        <v>620809</v>
      </c>
    </row>
    <row r="15" spans="1:14" x14ac:dyDescent="0.2">
      <c r="A15" s="63">
        <v>1995</v>
      </c>
      <c r="B15" s="50">
        <v>44320</v>
      </c>
      <c r="C15" s="51">
        <v>44322</v>
      </c>
      <c r="D15" s="51">
        <v>44329</v>
      </c>
      <c r="E15" s="51">
        <v>44358</v>
      </c>
      <c r="F15" s="64"/>
      <c r="G15" s="65">
        <v>822284</v>
      </c>
      <c r="H15" s="64"/>
      <c r="I15" s="69">
        <v>767027</v>
      </c>
      <c r="J15" s="65">
        <v>55257</v>
      </c>
      <c r="K15" s="59"/>
      <c r="L15" s="59"/>
      <c r="M15" s="46">
        <f t="shared" si="1"/>
        <v>767027</v>
      </c>
    </row>
    <row r="16" spans="1:14" x14ac:dyDescent="0.2">
      <c r="A16" s="63">
        <v>1996</v>
      </c>
      <c r="B16" s="50">
        <v>44321</v>
      </c>
      <c r="C16" s="51">
        <v>44327</v>
      </c>
      <c r="D16" s="51">
        <v>44336</v>
      </c>
      <c r="E16" s="51">
        <v>44341</v>
      </c>
      <c r="F16" s="64"/>
      <c r="G16" s="65">
        <v>1559236</v>
      </c>
      <c r="H16" s="64"/>
      <c r="I16" s="69">
        <v>1408020</v>
      </c>
      <c r="J16" s="65">
        <v>151216</v>
      </c>
      <c r="K16" s="59"/>
      <c r="L16" s="59"/>
      <c r="M16" s="46">
        <f t="shared" si="1"/>
        <v>1408020</v>
      </c>
    </row>
    <row r="17" spans="1:13" x14ac:dyDescent="0.2">
      <c r="A17" s="63">
        <v>1997</v>
      </c>
      <c r="B17" s="50">
        <v>44323</v>
      </c>
      <c r="C17" s="51">
        <v>44327</v>
      </c>
      <c r="D17" s="51">
        <v>44339</v>
      </c>
      <c r="E17" s="51">
        <v>44346</v>
      </c>
      <c r="F17" s="64"/>
      <c r="G17" s="65">
        <v>518202</v>
      </c>
      <c r="H17" s="64"/>
      <c r="I17" s="69">
        <v>348685</v>
      </c>
      <c r="J17" s="65">
        <v>169517</v>
      </c>
      <c r="K17" s="59"/>
      <c r="L17" s="59"/>
      <c r="M17" s="46">
        <f t="shared" si="1"/>
        <v>348685</v>
      </c>
    </row>
    <row r="18" spans="1:13" x14ac:dyDescent="0.2">
      <c r="A18" s="63">
        <v>1998</v>
      </c>
      <c r="B18" s="50">
        <v>44323</v>
      </c>
      <c r="C18" s="51">
        <v>44324</v>
      </c>
      <c r="D18" s="51">
        <v>44341</v>
      </c>
      <c r="E18" s="51">
        <v>44352</v>
      </c>
      <c r="F18" s="64"/>
      <c r="G18" s="65">
        <v>540866</v>
      </c>
      <c r="H18" s="64"/>
      <c r="I18" s="69">
        <v>326420</v>
      </c>
      <c r="J18" s="65">
        <v>214446</v>
      </c>
      <c r="K18" s="59"/>
      <c r="L18" s="59"/>
      <c r="M18" s="46">
        <f t="shared" si="1"/>
        <v>326420</v>
      </c>
    </row>
    <row r="19" spans="1:13" x14ac:dyDescent="0.2">
      <c r="A19" s="63">
        <v>1999</v>
      </c>
      <c r="B19" s="50">
        <v>44322</v>
      </c>
      <c r="C19" s="51">
        <v>44326</v>
      </c>
      <c r="D19" s="51">
        <v>44356</v>
      </c>
      <c r="E19" s="51">
        <v>44362</v>
      </c>
      <c r="F19" s="64"/>
      <c r="G19" s="65">
        <v>762033</v>
      </c>
      <c r="H19" s="64"/>
      <c r="I19" s="69">
        <v>468488</v>
      </c>
      <c r="J19" s="65">
        <v>293545</v>
      </c>
      <c r="K19" s="59"/>
      <c r="L19" s="59"/>
      <c r="M19" s="46">
        <f t="shared" si="1"/>
        <v>468488</v>
      </c>
    </row>
    <row r="20" spans="1:13" x14ac:dyDescent="0.2">
      <c r="A20" s="63">
        <v>2000</v>
      </c>
      <c r="B20" s="50">
        <v>44323</v>
      </c>
      <c r="C20" s="51">
        <v>44325</v>
      </c>
      <c r="D20" s="51">
        <v>44338</v>
      </c>
      <c r="E20" s="51">
        <v>44364</v>
      </c>
      <c r="F20" s="64"/>
      <c r="G20" s="65">
        <v>619274</v>
      </c>
      <c r="H20" s="64"/>
      <c r="I20" s="69">
        <v>355618</v>
      </c>
      <c r="J20" s="65">
        <v>263656</v>
      </c>
      <c r="K20" s="59"/>
      <c r="L20" s="59"/>
      <c r="M20" s="46">
        <f t="shared" si="1"/>
        <v>355618</v>
      </c>
    </row>
    <row r="21" spans="1:13" x14ac:dyDescent="0.2">
      <c r="A21" s="63">
        <v>2001</v>
      </c>
      <c r="B21" s="50">
        <v>44323</v>
      </c>
      <c r="C21" s="51">
        <v>44323</v>
      </c>
      <c r="D21" s="51">
        <v>44340</v>
      </c>
      <c r="E21" s="51">
        <v>44365</v>
      </c>
      <c r="F21" s="64"/>
      <c r="G21" s="65">
        <v>1495642</v>
      </c>
      <c r="H21" s="64"/>
      <c r="I21" s="69">
        <v>841268</v>
      </c>
      <c r="J21" s="65">
        <v>654374</v>
      </c>
      <c r="K21" s="59"/>
      <c r="L21" s="59"/>
      <c r="M21" s="46">
        <f t="shared" si="1"/>
        <v>841268</v>
      </c>
    </row>
    <row r="22" spans="1:13" x14ac:dyDescent="0.2">
      <c r="A22" s="63">
        <v>2002</v>
      </c>
      <c r="B22" s="50">
        <v>44324</v>
      </c>
      <c r="C22" s="51">
        <v>44330</v>
      </c>
      <c r="D22" s="51">
        <v>44343</v>
      </c>
      <c r="E22" s="51">
        <v>44359</v>
      </c>
      <c r="F22" s="64"/>
      <c r="G22" s="65">
        <v>1873598</v>
      </c>
      <c r="H22" s="64"/>
      <c r="I22" s="69">
        <v>1042435</v>
      </c>
      <c r="J22" s="65">
        <v>831163</v>
      </c>
      <c r="K22" s="59"/>
      <c r="L22" s="59"/>
      <c r="M22" s="46">
        <f t="shared" si="1"/>
        <v>1042435</v>
      </c>
    </row>
    <row r="23" spans="1:13" x14ac:dyDescent="0.2">
      <c r="A23" s="63">
        <v>2003</v>
      </c>
      <c r="B23" s="50">
        <v>44323</v>
      </c>
      <c r="C23" s="51">
        <v>44327</v>
      </c>
      <c r="D23" s="51">
        <v>44345</v>
      </c>
      <c r="E23" s="51">
        <v>44353</v>
      </c>
      <c r="F23" s="64"/>
      <c r="G23" s="65">
        <v>1960480</v>
      </c>
      <c r="H23" s="64"/>
      <c r="I23" s="69">
        <v>979442</v>
      </c>
      <c r="J23" s="65">
        <v>981038</v>
      </c>
      <c r="K23" s="59"/>
      <c r="L23" s="59"/>
      <c r="M23" s="46">
        <f t="shared" si="1"/>
        <v>979442</v>
      </c>
    </row>
    <row r="24" spans="1:13" x14ac:dyDescent="0.2">
      <c r="A24" s="63">
        <v>2004</v>
      </c>
      <c r="B24" s="50">
        <v>44324</v>
      </c>
      <c r="C24" s="51">
        <v>44326</v>
      </c>
      <c r="D24" s="51">
        <v>44337</v>
      </c>
      <c r="E24" s="51">
        <v>44341</v>
      </c>
      <c r="F24" s="64"/>
      <c r="G24" s="65">
        <v>2116701</v>
      </c>
      <c r="H24" s="64"/>
      <c r="I24" s="69">
        <v>825513</v>
      </c>
      <c r="J24" s="65">
        <v>1291188</v>
      </c>
      <c r="K24" s="59"/>
      <c r="L24" s="59"/>
      <c r="M24" s="46">
        <f t="shared" si="1"/>
        <v>825513</v>
      </c>
    </row>
    <row r="25" spans="1:13" x14ac:dyDescent="0.2">
      <c r="A25" s="63">
        <v>2005</v>
      </c>
      <c r="B25" s="50">
        <v>44322</v>
      </c>
      <c r="C25" s="51">
        <v>44323</v>
      </c>
      <c r="D25" s="51">
        <v>44333</v>
      </c>
      <c r="E25" s="51">
        <v>44341</v>
      </c>
      <c r="F25" s="64"/>
      <c r="G25" s="65">
        <v>1843804</v>
      </c>
      <c r="H25" s="64"/>
      <c r="I25" s="69">
        <v>943929</v>
      </c>
      <c r="J25" s="65">
        <v>899875</v>
      </c>
      <c r="K25" s="59"/>
      <c r="L25" s="59"/>
      <c r="M25" s="46">
        <f t="shared" si="1"/>
        <v>943929</v>
      </c>
    </row>
    <row r="26" spans="1:13" x14ac:dyDescent="0.2">
      <c r="A26" s="63">
        <v>2006</v>
      </c>
      <c r="B26" s="50">
        <v>44323</v>
      </c>
      <c r="C26" s="51">
        <v>44326</v>
      </c>
      <c r="D26" s="51">
        <v>44341</v>
      </c>
      <c r="E26" s="51">
        <v>44349</v>
      </c>
      <c r="F26" s="64"/>
      <c r="G26" s="65">
        <v>2195266</v>
      </c>
      <c r="H26" s="64"/>
      <c r="I26" s="69">
        <v>1773062</v>
      </c>
      <c r="J26" s="65">
        <v>422204</v>
      </c>
      <c r="K26" s="59"/>
      <c r="L26" s="59"/>
      <c r="M26" s="46">
        <f t="shared" si="1"/>
        <v>1773062</v>
      </c>
    </row>
    <row r="27" spans="1:13" x14ac:dyDescent="0.2">
      <c r="A27" s="63">
        <v>2007</v>
      </c>
      <c r="B27" s="50">
        <v>44331</v>
      </c>
      <c r="C27" s="51">
        <v>44332</v>
      </c>
      <c r="D27" s="51">
        <v>44337</v>
      </c>
      <c r="E27" s="51">
        <v>44344</v>
      </c>
      <c r="F27" s="64"/>
      <c r="G27" s="65">
        <v>1055114</v>
      </c>
      <c r="H27" s="64"/>
      <c r="I27" s="69">
        <v>644987</v>
      </c>
      <c r="J27" s="65">
        <v>410127</v>
      </c>
      <c r="K27" s="59"/>
      <c r="L27" s="59"/>
      <c r="M27" s="46">
        <f t="shared" si="1"/>
        <v>644987</v>
      </c>
    </row>
    <row r="28" spans="1:13" x14ac:dyDescent="0.2">
      <c r="A28" s="63">
        <v>2008</v>
      </c>
      <c r="B28" s="50">
        <v>44324</v>
      </c>
      <c r="C28" s="51">
        <v>44328</v>
      </c>
      <c r="D28" s="51">
        <v>44339</v>
      </c>
      <c r="E28" s="51">
        <v>44349</v>
      </c>
      <c r="F28" s="64"/>
      <c r="G28" s="65">
        <v>1402995</v>
      </c>
      <c r="H28" s="64"/>
      <c r="I28" s="69">
        <v>870295</v>
      </c>
      <c r="J28" s="65">
        <v>532700</v>
      </c>
      <c r="K28" s="59"/>
      <c r="L28" s="59"/>
      <c r="M28" s="46">
        <f t="shared" si="1"/>
        <v>870295</v>
      </c>
    </row>
    <row r="29" spans="1:13" x14ac:dyDescent="0.2">
      <c r="A29" s="63">
        <v>2009</v>
      </c>
      <c r="B29" s="50">
        <v>44329</v>
      </c>
      <c r="C29" s="51">
        <v>44330</v>
      </c>
      <c r="D29" s="51">
        <v>44342</v>
      </c>
      <c r="E29" s="51">
        <v>44348</v>
      </c>
      <c r="F29" s="64"/>
      <c r="G29" s="65">
        <v>746045</v>
      </c>
      <c r="H29" s="64"/>
      <c r="I29" s="69">
        <v>484929</v>
      </c>
      <c r="J29" s="65">
        <v>261116</v>
      </c>
      <c r="K29" s="59"/>
      <c r="L29" s="59"/>
      <c r="M29" s="46">
        <f t="shared" si="1"/>
        <v>484929</v>
      </c>
    </row>
    <row r="30" spans="1:13" x14ac:dyDescent="0.2">
      <c r="A30" s="63">
        <v>2010</v>
      </c>
      <c r="B30" s="50">
        <v>44324</v>
      </c>
      <c r="C30" s="51">
        <v>44326</v>
      </c>
      <c r="D30" s="51">
        <v>44339</v>
      </c>
      <c r="E30" s="51">
        <v>44354</v>
      </c>
      <c r="F30" s="64"/>
      <c r="G30" s="65">
        <v>557532</v>
      </c>
      <c r="H30" s="64"/>
      <c r="I30" s="69">
        <v>306344</v>
      </c>
      <c r="J30" s="65">
        <v>251188</v>
      </c>
      <c r="K30" s="59"/>
      <c r="L30" s="59"/>
      <c r="M30" s="46">
        <f t="shared" si="1"/>
        <v>306344</v>
      </c>
    </row>
    <row r="31" spans="1:13" x14ac:dyDescent="0.2">
      <c r="A31" s="63">
        <v>2011</v>
      </c>
      <c r="B31" s="50">
        <v>44323</v>
      </c>
      <c r="C31" s="51">
        <v>44333</v>
      </c>
      <c r="D31" s="51">
        <v>44342</v>
      </c>
      <c r="E31" s="51">
        <v>44348</v>
      </c>
      <c r="F31" s="64"/>
      <c r="G31" s="65">
        <v>1632119</v>
      </c>
      <c r="H31" s="64"/>
      <c r="I31" s="69">
        <v>960531</v>
      </c>
      <c r="J31" s="65">
        <v>671588</v>
      </c>
      <c r="K31" s="59"/>
      <c r="L31" s="59"/>
      <c r="M31" s="46">
        <f t="shared" si="1"/>
        <v>960531</v>
      </c>
    </row>
    <row r="32" spans="1:13" x14ac:dyDescent="0.2">
      <c r="A32" s="63">
        <v>2012</v>
      </c>
      <c r="B32" s="50">
        <v>44326</v>
      </c>
      <c r="C32" s="51">
        <v>44329</v>
      </c>
      <c r="D32" s="51">
        <v>44341</v>
      </c>
      <c r="E32" s="51">
        <v>44349</v>
      </c>
      <c r="F32" s="64"/>
      <c r="G32" s="65">
        <v>639473</v>
      </c>
      <c r="H32" s="64"/>
      <c r="I32" s="69">
        <v>324876</v>
      </c>
      <c r="J32" s="65">
        <v>314597</v>
      </c>
      <c r="K32" s="59"/>
      <c r="L32" s="59"/>
      <c r="M32" s="46">
        <f t="shared" si="1"/>
        <v>324876</v>
      </c>
    </row>
    <row r="33" spans="1:39" x14ac:dyDescent="0.2">
      <c r="A33" s="63">
        <v>2013</v>
      </c>
      <c r="B33" s="50">
        <v>44324</v>
      </c>
      <c r="C33" s="51">
        <v>44326</v>
      </c>
      <c r="D33" s="51">
        <v>44339</v>
      </c>
      <c r="E33" s="51">
        <v>44344</v>
      </c>
      <c r="F33" s="64"/>
      <c r="G33" s="65">
        <v>2387669</v>
      </c>
      <c r="H33" s="64"/>
      <c r="I33" s="69">
        <v>1671368</v>
      </c>
      <c r="J33" s="65">
        <v>716301</v>
      </c>
      <c r="K33" s="59"/>
      <c r="L33" s="59"/>
      <c r="M33" s="46">
        <f t="shared" si="1"/>
        <v>1671368</v>
      </c>
    </row>
    <row r="34" spans="1:39" x14ac:dyDescent="0.2">
      <c r="A34" s="63">
        <v>2014</v>
      </c>
      <c r="B34" s="50">
        <v>44327</v>
      </c>
      <c r="C34" s="51">
        <v>44332</v>
      </c>
      <c r="D34" s="51">
        <v>44340</v>
      </c>
      <c r="E34" s="51">
        <v>44346</v>
      </c>
      <c r="F34" s="65">
        <v>1461359</v>
      </c>
      <c r="G34" s="65">
        <v>1531823</v>
      </c>
      <c r="H34" s="66" t="s">
        <v>286</v>
      </c>
      <c r="I34" s="69">
        <v>980367</v>
      </c>
      <c r="J34" s="65">
        <v>551456</v>
      </c>
      <c r="K34" s="59"/>
      <c r="L34" s="59"/>
      <c r="M34" s="46">
        <f t="shared" si="1"/>
        <v>980367</v>
      </c>
    </row>
    <row r="35" spans="1:39" x14ac:dyDescent="0.2">
      <c r="A35" s="63">
        <v>2015</v>
      </c>
      <c r="B35" s="50">
        <v>44323</v>
      </c>
      <c r="C35" s="51">
        <v>44326</v>
      </c>
      <c r="D35" s="51">
        <v>44337</v>
      </c>
      <c r="E35" s="51">
        <v>44344</v>
      </c>
      <c r="F35" s="65"/>
      <c r="G35" s="65">
        <v>2123168</v>
      </c>
      <c r="H35" s="64"/>
      <c r="I35" s="69">
        <v>966041</v>
      </c>
      <c r="J35" s="65">
        <v>1157127</v>
      </c>
      <c r="K35" s="59"/>
      <c r="L35" s="59"/>
      <c r="M35" s="46">
        <f t="shared" si="1"/>
        <v>966041</v>
      </c>
    </row>
    <row r="36" spans="1:39" x14ac:dyDescent="0.2">
      <c r="A36" s="63">
        <v>2016</v>
      </c>
      <c r="B36" s="50">
        <v>44322</v>
      </c>
      <c r="C36" s="51">
        <v>44322</v>
      </c>
      <c r="D36" s="51">
        <v>44334</v>
      </c>
      <c r="E36" s="51">
        <v>44340</v>
      </c>
      <c r="F36" s="65"/>
      <c r="G36" s="65">
        <v>2094592</v>
      </c>
      <c r="H36" s="64"/>
      <c r="I36" s="69">
        <v>1019421</v>
      </c>
      <c r="J36" s="65">
        <v>1075171</v>
      </c>
      <c r="K36" s="59"/>
      <c r="L36" s="59"/>
      <c r="M36" s="46">
        <f t="shared" si="1"/>
        <v>1019421</v>
      </c>
    </row>
    <row r="37" spans="1:39" x14ac:dyDescent="0.2">
      <c r="A37" s="63">
        <v>2017</v>
      </c>
      <c r="B37" s="50">
        <v>44320</v>
      </c>
      <c r="C37" s="51">
        <v>44323</v>
      </c>
      <c r="D37" s="51">
        <v>44344</v>
      </c>
      <c r="E37" s="51">
        <v>44350</v>
      </c>
      <c r="F37" s="65"/>
      <c r="G37" s="65">
        <v>2461675</v>
      </c>
      <c r="H37" s="64"/>
      <c r="I37" s="69">
        <v>1186954</v>
      </c>
      <c r="J37" s="65">
        <v>1274721</v>
      </c>
      <c r="K37" s="59"/>
      <c r="L37" s="59"/>
      <c r="M37" s="46">
        <f t="shared" si="1"/>
        <v>1186954</v>
      </c>
    </row>
    <row r="38" spans="1:39" x14ac:dyDescent="0.2">
      <c r="A38" s="63">
        <v>2018</v>
      </c>
      <c r="B38" s="50">
        <v>44320</v>
      </c>
      <c r="C38" s="51">
        <v>44327</v>
      </c>
      <c r="D38" s="51">
        <v>44335</v>
      </c>
      <c r="E38" s="51">
        <v>44341</v>
      </c>
      <c r="F38" s="65"/>
      <c r="G38" s="65">
        <v>1014975</v>
      </c>
      <c r="H38" s="64"/>
      <c r="I38" s="69">
        <v>378733</v>
      </c>
      <c r="J38" s="65">
        <v>636242</v>
      </c>
      <c r="K38" s="59"/>
      <c r="L38" s="59"/>
      <c r="M38" s="46">
        <f t="shared" si="1"/>
        <v>378733</v>
      </c>
    </row>
    <row r="39" spans="1:39" x14ac:dyDescent="0.2">
      <c r="A39" s="63">
        <v>2019</v>
      </c>
      <c r="B39" s="50">
        <v>44320</v>
      </c>
      <c r="C39" s="51">
        <v>44330</v>
      </c>
      <c r="D39" s="51">
        <v>44339</v>
      </c>
      <c r="E39" s="51">
        <v>44343</v>
      </c>
      <c r="F39" s="65"/>
      <c r="G39" s="65">
        <v>1599695</v>
      </c>
      <c r="H39" s="64"/>
      <c r="I39" s="69">
        <v>456083</v>
      </c>
      <c r="J39" s="65">
        <v>1143612</v>
      </c>
      <c r="K39" s="59"/>
      <c r="L39" s="59"/>
      <c r="M39" s="46">
        <f t="shared" si="1"/>
        <v>456083</v>
      </c>
    </row>
    <row r="40" spans="1:39" x14ac:dyDescent="0.2">
      <c r="A40" s="63">
        <v>2020</v>
      </c>
      <c r="B40" s="50">
        <v>44327</v>
      </c>
      <c r="C40" s="51">
        <v>44331</v>
      </c>
      <c r="D40" s="51">
        <v>44338</v>
      </c>
      <c r="E40" s="51">
        <v>44346</v>
      </c>
      <c r="F40" s="65"/>
      <c r="G40" s="65">
        <v>798047</v>
      </c>
      <c r="H40" s="64"/>
      <c r="I40" s="69">
        <v>147639</v>
      </c>
      <c r="J40" s="65">
        <v>650408</v>
      </c>
      <c r="K40" s="59"/>
      <c r="L40" s="59"/>
      <c r="M40" s="46">
        <f t="shared" si="1"/>
        <v>147639</v>
      </c>
    </row>
    <row r="41" spans="1:39" x14ac:dyDescent="0.2">
      <c r="A41" s="63">
        <v>2021</v>
      </c>
      <c r="B41" s="50">
        <v>44322</v>
      </c>
      <c r="C41" s="51">
        <v>44330</v>
      </c>
      <c r="D41" s="51">
        <v>44339</v>
      </c>
      <c r="E41" s="51">
        <v>44348</v>
      </c>
      <c r="F41" s="67"/>
      <c r="G41" s="65">
        <v>1859511</v>
      </c>
      <c r="H41" s="64"/>
      <c r="I41" s="69">
        <v>571694.61177565122</v>
      </c>
      <c r="J41" s="65">
        <v>1287816.3882243489</v>
      </c>
      <c r="K41" s="59"/>
      <c r="L41" s="59"/>
      <c r="M41" s="46">
        <f t="shared" si="1"/>
        <v>571694.61177565122</v>
      </c>
    </row>
    <row r="42" spans="1:39" x14ac:dyDescent="0.2">
      <c r="A42" s="63">
        <v>2022</v>
      </c>
      <c r="B42" s="50">
        <v>44322</v>
      </c>
      <c r="C42" s="51">
        <v>44338</v>
      </c>
      <c r="D42" s="51">
        <v>44341</v>
      </c>
      <c r="E42" s="51">
        <v>44350</v>
      </c>
      <c r="F42" s="67"/>
      <c r="G42" s="65">
        <v>1707908</v>
      </c>
      <c r="H42" s="64"/>
      <c r="I42" s="69">
        <v>1463677.156</v>
      </c>
      <c r="J42" s="65">
        <v>244230.84399999998</v>
      </c>
      <c r="K42" s="59"/>
      <c r="L42" s="59"/>
      <c r="M42" s="46"/>
    </row>
    <row r="43" spans="1:39" x14ac:dyDescent="0.2">
      <c r="A43" s="116">
        <v>2023</v>
      </c>
      <c r="B43" s="155">
        <v>45783</v>
      </c>
      <c r="C43" s="155">
        <v>45791</v>
      </c>
      <c r="D43" s="155">
        <v>45798</v>
      </c>
      <c r="E43" s="155">
        <v>45801</v>
      </c>
      <c r="F43" s="126"/>
      <c r="G43" s="140">
        <v>2009578</v>
      </c>
      <c r="H43" s="126"/>
      <c r="I43" s="140">
        <v>1360484</v>
      </c>
      <c r="J43" s="140">
        <v>649094</v>
      </c>
      <c r="K43" s="154"/>
      <c r="L43" s="154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</row>
    <row r="44" spans="1:39" x14ac:dyDescent="0.2">
      <c r="A44" s="110">
        <v>2024</v>
      </c>
      <c r="B44" s="173">
        <v>45781</v>
      </c>
      <c r="C44" s="173">
        <v>45785</v>
      </c>
      <c r="D44" s="173">
        <v>45793</v>
      </c>
      <c r="E44" s="173">
        <v>45797</v>
      </c>
      <c r="F44" s="111"/>
      <c r="G44" s="145">
        <v>2034420</v>
      </c>
      <c r="H44" s="111"/>
      <c r="I44" s="145">
        <v>1184032</v>
      </c>
      <c r="J44" s="145">
        <v>850388</v>
      </c>
      <c r="K44" s="154"/>
      <c r="L44" s="154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</row>
    <row r="45" spans="1:39" x14ac:dyDescent="0.2">
      <c r="A45" s="116" t="s">
        <v>24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19"/>
      <c r="L45" s="154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</row>
    <row r="46" spans="1:39" x14ac:dyDescent="0.2">
      <c r="A46" s="116" t="s">
        <v>309</v>
      </c>
      <c r="B46" s="155">
        <v>45783</v>
      </c>
      <c r="C46" s="155">
        <v>45788</v>
      </c>
      <c r="D46" s="155">
        <v>45800</v>
      </c>
      <c r="E46" s="155">
        <v>45809</v>
      </c>
      <c r="F46" s="126"/>
      <c r="G46" s="140">
        <v>1334747</v>
      </c>
      <c r="H46" s="126"/>
      <c r="I46" s="140">
        <v>888539</v>
      </c>
      <c r="J46" s="140">
        <v>600605</v>
      </c>
      <c r="K46" s="119"/>
      <c r="L46" s="154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</row>
    <row r="47" spans="1:39" x14ac:dyDescent="0.2">
      <c r="A47" s="110" t="s">
        <v>302</v>
      </c>
      <c r="B47" s="156">
        <v>45783</v>
      </c>
      <c r="C47" s="156">
        <v>45789</v>
      </c>
      <c r="D47" s="156">
        <v>45799</v>
      </c>
      <c r="E47" s="156">
        <v>45805</v>
      </c>
      <c r="F47" s="111"/>
      <c r="G47" s="145">
        <v>1720097</v>
      </c>
      <c r="H47" s="111"/>
      <c r="I47" s="145">
        <v>853109</v>
      </c>
      <c r="J47" s="145">
        <v>866988</v>
      </c>
      <c r="K47" s="154"/>
      <c r="L47" s="154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</row>
    <row r="48" spans="1:39" x14ac:dyDescent="0.2">
      <c r="A48" s="116" t="s">
        <v>291</v>
      </c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</row>
    <row r="49" spans="1:39" x14ac:dyDescent="0.2">
      <c r="A49" s="116" t="s">
        <v>292</v>
      </c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</row>
    <row r="50" spans="1:39" x14ac:dyDescent="0.2">
      <c r="A50" s="116" t="s">
        <v>293</v>
      </c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</row>
    <row r="51" spans="1:39" x14ac:dyDescent="0.2">
      <c r="A51" s="116" t="s">
        <v>294</v>
      </c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</row>
    <row r="52" spans="1:39" x14ac:dyDescent="0.2">
      <c r="A52" s="40" t="s">
        <v>295</v>
      </c>
      <c r="B52" s="42"/>
      <c r="C52" s="42"/>
      <c r="D52" s="42"/>
      <c r="E52" s="154"/>
      <c r="F52" s="154"/>
      <c r="G52" s="154"/>
      <c r="H52" s="116"/>
      <c r="I52" s="116"/>
      <c r="J52" s="154"/>
      <c r="K52" s="154"/>
      <c r="L52" s="154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92"/>
  <sheetViews>
    <sheetView topLeftCell="A86" workbookViewId="0">
      <selection activeCell="D100" sqref="D100"/>
    </sheetView>
  </sheetViews>
  <sheetFormatPr baseColWidth="10" defaultColWidth="9.1640625" defaultRowHeight="13" x14ac:dyDescent="0.15"/>
  <cols>
    <col min="1" max="6" width="9.1640625" style="2"/>
    <col min="7" max="7" width="9.83203125" style="2" bestFit="1" customWidth="1"/>
    <col min="8" max="16384" width="9.1640625" style="2"/>
  </cols>
  <sheetData>
    <row r="1" spans="1:39" x14ac:dyDescent="0.15">
      <c r="A1" s="110" t="s">
        <v>296</v>
      </c>
      <c r="B1" s="157"/>
      <c r="C1" s="157"/>
      <c r="D1" s="157"/>
      <c r="E1" s="157"/>
      <c r="F1" s="157"/>
      <c r="G1" s="157"/>
      <c r="H1" s="157"/>
      <c r="I1" s="157"/>
      <c r="J1" s="154"/>
      <c r="K1" s="154"/>
      <c r="L1" s="154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</row>
    <row r="2" spans="1:39" x14ac:dyDescent="0.15">
      <c r="A2" s="116"/>
      <c r="B2" s="154" t="s">
        <v>86</v>
      </c>
      <c r="C2" s="157"/>
      <c r="D2" s="157" t="s">
        <v>87</v>
      </c>
      <c r="E2" s="157"/>
      <c r="F2" s="154" t="s">
        <v>88</v>
      </c>
      <c r="G2" s="154" t="s">
        <v>99</v>
      </c>
      <c r="H2" s="154" t="s">
        <v>147</v>
      </c>
      <c r="I2" s="154" t="s">
        <v>104</v>
      </c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</row>
    <row r="3" spans="1:39" x14ac:dyDescent="0.15">
      <c r="A3" s="110" t="s">
        <v>10</v>
      </c>
      <c r="B3" s="157" t="s">
        <v>94</v>
      </c>
      <c r="C3" s="157" t="s">
        <v>95</v>
      </c>
      <c r="D3" s="174">
        <v>0.5</v>
      </c>
      <c r="E3" s="174">
        <v>0.9</v>
      </c>
      <c r="F3" s="157" t="s">
        <v>105</v>
      </c>
      <c r="G3" s="157" t="s">
        <v>106</v>
      </c>
      <c r="H3" s="157" t="s">
        <v>102</v>
      </c>
      <c r="I3" s="157" t="s">
        <v>107</v>
      </c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</row>
    <row r="4" spans="1:39" x14ac:dyDescent="0.15">
      <c r="A4" s="116" t="s">
        <v>108</v>
      </c>
      <c r="B4" s="154"/>
      <c r="C4" s="154"/>
      <c r="D4" s="154"/>
      <c r="E4" s="154"/>
      <c r="F4" s="154"/>
      <c r="G4" s="154"/>
      <c r="H4" s="154"/>
      <c r="I4" s="154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 spans="1:39" x14ac:dyDescent="0.15">
      <c r="A5" s="116">
        <v>1985</v>
      </c>
      <c r="B5" s="160">
        <v>45841</v>
      </c>
      <c r="C5" s="160">
        <v>45842</v>
      </c>
      <c r="D5" s="160">
        <v>45868</v>
      </c>
      <c r="E5" s="160">
        <v>45875</v>
      </c>
      <c r="F5" s="161">
        <v>3114</v>
      </c>
      <c r="G5" s="154"/>
      <c r="H5" s="175">
        <v>3114</v>
      </c>
      <c r="I5" s="154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</row>
    <row r="6" spans="1:39" x14ac:dyDescent="0.15">
      <c r="A6" s="116">
        <v>1986</v>
      </c>
      <c r="B6" s="160">
        <v>45836</v>
      </c>
      <c r="C6" s="160">
        <v>45837</v>
      </c>
      <c r="D6" s="160">
        <v>45859</v>
      </c>
      <c r="E6" s="160">
        <v>45874</v>
      </c>
      <c r="F6" s="161">
        <v>2891</v>
      </c>
      <c r="G6" s="154"/>
      <c r="H6" s="175">
        <v>2891</v>
      </c>
      <c r="I6" s="154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</row>
    <row r="7" spans="1:39" x14ac:dyDescent="0.15">
      <c r="A7" s="116">
        <v>1987</v>
      </c>
      <c r="B7" s="160">
        <v>45836</v>
      </c>
      <c r="C7" s="160">
        <v>45842</v>
      </c>
      <c r="D7" s="160">
        <v>45862</v>
      </c>
      <c r="E7" s="160">
        <v>45871</v>
      </c>
      <c r="F7" s="161">
        <v>4783</v>
      </c>
      <c r="G7" s="154"/>
      <c r="H7" s="175">
        <v>4783</v>
      </c>
      <c r="I7" s="154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 spans="1:39" x14ac:dyDescent="0.15">
      <c r="A8" s="116">
        <v>1988</v>
      </c>
      <c r="B8" s="160">
        <v>45834</v>
      </c>
      <c r="C8" s="160">
        <v>45835</v>
      </c>
      <c r="D8" s="160">
        <v>45856</v>
      </c>
      <c r="E8" s="160">
        <v>45872</v>
      </c>
      <c r="F8" s="161">
        <v>7292</v>
      </c>
      <c r="G8" s="154"/>
      <c r="H8" s="175">
        <v>7292</v>
      </c>
      <c r="I8" s="154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</row>
    <row r="9" spans="1:39" x14ac:dyDescent="0.15">
      <c r="A9" s="116">
        <v>1989</v>
      </c>
      <c r="B9" s="160">
        <v>45833</v>
      </c>
      <c r="C9" s="160">
        <v>45834</v>
      </c>
      <c r="D9" s="160">
        <v>45861</v>
      </c>
      <c r="E9" s="160">
        <v>45871</v>
      </c>
      <c r="F9" s="161">
        <v>4715</v>
      </c>
      <c r="G9" s="154"/>
      <c r="H9" s="175">
        <v>4715</v>
      </c>
      <c r="I9" s="154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</row>
    <row r="10" spans="1:39" x14ac:dyDescent="0.15">
      <c r="A10" s="116">
        <v>1990</v>
      </c>
      <c r="B10" s="160">
        <v>45830</v>
      </c>
      <c r="C10" s="160">
        <v>45837</v>
      </c>
      <c r="D10" s="160">
        <v>45861</v>
      </c>
      <c r="E10" s="160">
        <v>45873</v>
      </c>
      <c r="F10" s="161">
        <v>4392</v>
      </c>
      <c r="G10" s="154"/>
      <c r="H10" s="175">
        <v>4392</v>
      </c>
      <c r="I10" s="154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</row>
    <row r="11" spans="1:39" x14ac:dyDescent="0.15">
      <c r="A11" s="116">
        <v>1991</v>
      </c>
      <c r="B11" s="160">
        <v>45831</v>
      </c>
      <c r="C11" s="160">
        <v>45833</v>
      </c>
      <c r="D11" s="160">
        <v>45858</v>
      </c>
      <c r="E11" s="160">
        <v>45872</v>
      </c>
      <c r="F11" s="161">
        <v>4506</v>
      </c>
      <c r="G11" s="154"/>
      <c r="H11" s="175">
        <v>4506</v>
      </c>
      <c r="I11" s="154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</row>
    <row r="12" spans="1:39" x14ac:dyDescent="0.15">
      <c r="A12" s="116">
        <v>1992</v>
      </c>
      <c r="B12" s="160">
        <v>45832</v>
      </c>
      <c r="C12" s="160">
        <v>45842</v>
      </c>
      <c r="D12" s="160">
        <v>45859</v>
      </c>
      <c r="E12" s="160">
        <v>45868</v>
      </c>
      <c r="F12" s="161">
        <v>6627</v>
      </c>
      <c r="G12" s="154">
        <v>-12</v>
      </c>
      <c r="H12" s="175">
        <v>6615</v>
      </c>
      <c r="I12" s="154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</row>
    <row r="13" spans="1:39" x14ac:dyDescent="0.15">
      <c r="A13" s="116">
        <v>1993</v>
      </c>
      <c r="B13" s="160">
        <v>45828</v>
      </c>
      <c r="C13" s="160">
        <v>45829</v>
      </c>
      <c r="D13" s="160">
        <v>45854</v>
      </c>
      <c r="E13" s="160">
        <v>45866</v>
      </c>
      <c r="F13" s="161">
        <v>11449</v>
      </c>
      <c r="G13" s="154">
        <v>-12</v>
      </c>
      <c r="H13" s="175">
        <v>11437</v>
      </c>
      <c r="I13" s="154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</row>
    <row r="14" spans="1:39" x14ac:dyDescent="0.15">
      <c r="A14" s="116">
        <v>1994</v>
      </c>
      <c r="B14" s="160">
        <v>45826</v>
      </c>
      <c r="C14" s="160">
        <v>45836</v>
      </c>
      <c r="D14" s="160">
        <v>45860</v>
      </c>
      <c r="E14" s="160">
        <v>45871</v>
      </c>
      <c r="F14" s="161">
        <v>6387</v>
      </c>
      <c r="G14" s="154">
        <v>-14</v>
      </c>
      <c r="H14" s="175">
        <v>6373</v>
      </c>
      <c r="I14" s="154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</row>
    <row r="15" spans="1:39" x14ac:dyDescent="0.15">
      <c r="A15" s="116">
        <v>1995</v>
      </c>
      <c r="B15" s="160">
        <v>45825</v>
      </c>
      <c r="C15" s="160">
        <v>45828</v>
      </c>
      <c r="D15" s="160">
        <v>45855</v>
      </c>
      <c r="E15" s="160">
        <v>45873</v>
      </c>
      <c r="F15" s="161">
        <v>3072</v>
      </c>
      <c r="G15" s="154">
        <v>0</v>
      </c>
      <c r="H15" s="175">
        <v>3072</v>
      </c>
      <c r="I15" s="154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</row>
    <row r="16" spans="1:39" x14ac:dyDescent="0.15">
      <c r="A16" s="116">
        <v>1996</v>
      </c>
      <c r="B16" s="160">
        <v>45825</v>
      </c>
      <c r="C16" s="160">
        <v>45834</v>
      </c>
      <c r="D16" s="160">
        <v>45854</v>
      </c>
      <c r="E16" s="160">
        <v>45868</v>
      </c>
      <c r="F16" s="161">
        <v>4821</v>
      </c>
      <c r="G16" s="154">
        <v>0</v>
      </c>
      <c r="H16" s="175">
        <v>4821</v>
      </c>
      <c r="I16" s="154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</row>
    <row r="17" spans="1:39" x14ac:dyDescent="0.15">
      <c r="A17" s="116">
        <v>1997</v>
      </c>
      <c r="B17" s="176">
        <v>45822</v>
      </c>
      <c r="C17" s="160">
        <v>45830</v>
      </c>
      <c r="D17" s="176">
        <v>45854</v>
      </c>
      <c r="E17" s="176">
        <v>45867</v>
      </c>
      <c r="F17" s="161">
        <v>5557</v>
      </c>
      <c r="G17" s="154">
        <v>-10</v>
      </c>
      <c r="H17" s="175">
        <v>5547</v>
      </c>
      <c r="I17" s="154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</row>
    <row r="18" spans="1:39" x14ac:dyDescent="0.15">
      <c r="A18" s="116">
        <v>1998</v>
      </c>
      <c r="B18" s="176">
        <v>45821</v>
      </c>
      <c r="C18" s="176">
        <v>45827</v>
      </c>
      <c r="D18" s="176">
        <v>45852</v>
      </c>
      <c r="E18" s="176">
        <v>45867</v>
      </c>
      <c r="F18" s="161">
        <v>4879</v>
      </c>
      <c r="G18" s="154">
        <v>-6</v>
      </c>
      <c r="H18" s="175">
        <v>4873</v>
      </c>
      <c r="I18" s="154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</row>
    <row r="19" spans="1:39" x14ac:dyDescent="0.15">
      <c r="A19" s="116">
        <v>1999</v>
      </c>
      <c r="B19" s="176">
        <v>45826</v>
      </c>
      <c r="C19" s="176">
        <v>45835</v>
      </c>
      <c r="D19" s="176">
        <v>45857</v>
      </c>
      <c r="E19" s="176">
        <v>45870</v>
      </c>
      <c r="F19" s="161">
        <v>4738</v>
      </c>
      <c r="G19" s="154">
        <v>-5</v>
      </c>
      <c r="H19" s="175">
        <v>4733</v>
      </c>
      <c r="I19" s="154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</row>
    <row r="20" spans="1:39" x14ac:dyDescent="0.15">
      <c r="A20" s="116">
        <v>2000</v>
      </c>
      <c r="B20" s="176">
        <v>45827</v>
      </c>
      <c r="C20" s="176">
        <v>45831</v>
      </c>
      <c r="D20" s="176">
        <v>45859</v>
      </c>
      <c r="E20" s="176">
        <v>45874</v>
      </c>
      <c r="F20" s="161">
        <v>6640</v>
      </c>
      <c r="G20" s="154">
        <v>-9</v>
      </c>
      <c r="H20" s="175">
        <v>6631</v>
      </c>
      <c r="I20" s="154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</row>
    <row r="21" spans="1:39" x14ac:dyDescent="0.15">
      <c r="A21" s="116">
        <v>2001</v>
      </c>
      <c r="B21" s="176">
        <v>45828</v>
      </c>
      <c r="C21" s="176">
        <v>45831</v>
      </c>
      <c r="D21" s="176">
        <v>45856</v>
      </c>
      <c r="E21" s="176">
        <v>45871</v>
      </c>
      <c r="F21" s="161">
        <v>9738</v>
      </c>
      <c r="G21" s="154">
        <v>-8</v>
      </c>
      <c r="H21" s="175">
        <v>9730</v>
      </c>
      <c r="I21" s="154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</row>
    <row r="22" spans="1:39" x14ac:dyDescent="0.15">
      <c r="A22" s="116">
        <v>2002</v>
      </c>
      <c r="B22" s="176">
        <v>45828</v>
      </c>
      <c r="C22" s="176">
        <v>45831</v>
      </c>
      <c r="D22" s="163">
        <v>45856</v>
      </c>
      <c r="E22" s="176">
        <v>45865</v>
      </c>
      <c r="F22" s="161">
        <v>7490</v>
      </c>
      <c r="G22" s="154">
        <v>-14</v>
      </c>
      <c r="H22" s="175">
        <v>7476</v>
      </c>
      <c r="I22" s="154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</row>
    <row r="23" spans="1:39" x14ac:dyDescent="0.15">
      <c r="A23" s="116">
        <v>2003</v>
      </c>
      <c r="B23" s="176">
        <v>45828</v>
      </c>
      <c r="C23" s="163">
        <v>45828</v>
      </c>
      <c r="D23" s="176">
        <v>45857</v>
      </c>
      <c r="E23" s="176">
        <v>45875</v>
      </c>
      <c r="F23" s="161">
        <v>6492</v>
      </c>
      <c r="G23" s="154">
        <v>0</v>
      </c>
      <c r="H23" s="175">
        <v>6492</v>
      </c>
      <c r="I23" s="154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</row>
    <row r="24" spans="1:39" x14ac:dyDescent="0.15">
      <c r="A24" s="116">
        <v>2004</v>
      </c>
      <c r="B24" s="176">
        <v>45826</v>
      </c>
      <c r="C24" s="163">
        <v>45827</v>
      </c>
      <c r="D24" s="176">
        <v>45858</v>
      </c>
      <c r="E24" s="176">
        <v>45869</v>
      </c>
      <c r="F24" s="161">
        <v>16381</v>
      </c>
      <c r="G24" s="154">
        <v>0</v>
      </c>
      <c r="H24" s="175">
        <v>16381</v>
      </c>
      <c r="I24" s="154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</row>
    <row r="25" spans="1:39" x14ac:dyDescent="0.15">
      <c r="A25" s="116">
        <v>2005</v>
      </c>
      <c r="B25" s="176">
        <v>45827</v>
      </c>
      <c r="C25" s="163">
        <v>45829</v>
      </c>
      <c r="D25" s="176">
        <v>45860</v>
      </c>
      <c r="E25" s="176">
        <v>45873</v>
      </c>
      <c r="F25" s="161">
        <v>7387</v>
      </c>
      <c r="G25" s="154">
        <v>0</v>
      </c>
      <c r="H25" s="175">
        <v>7387</v>
      </c>
      <c r="I25" s="154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</row>
    <row r="26" spans="1:39" x14ac:dyDescent="0.15">
      <c r="A26" s="116">
        <v>2006</v>
      </c>
      <c r="B26" s="176">
        <v>45828</v>
      </c>
      <c r="C26" s="163">
        <v>45834</v>
      </c>
      <c r="D26" s="176">
        <v>45859</v>
      </c>
      <c r="E26" s="176">
        <v>45867</v>
      </c>
      <c r="F26" s="161">
        <v>3860</v>
      </c>
      <c r="G26" s="154">
        <v>0</v>
      </c>
      <c r="H26" s="175">
        <v>3860</v>
      </c>
      <c r="I26" s="154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</row>
    <row r="27" spans="1:39" x14ac:dyDescent="0.15">
      <c r="A27" s="116">
        <v>2007</v>
      </c>
      <c r="B27" s="176">
        <v>45842</v>
      </c>
      <c r="C27" s="163">
        <v>45848</v>
      </c>
      <c r="D27" s="176">
        <v>45867</v>
      </c>
      <c r="E27" s="176">
        <v>45873</v>
      </c>
      <c r="F27" s="154">
        <v>562</v>
      </c>
      <c r="G27" s="154">
        <v>0</v>
      </c>
      <c r="H27" s="177">
        <v>562</v>
      </c>
      <c r="I27" s="154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</row>
    <row r="28" spans="1:39" x14ac:dyDescent="0.15">
      <c r="A28" s="116">
        <v>2008</v>
      </c>
      <c r="B28" s="176">
        <v>45827</v>
      </c>
      <c r="C28" s="163">
        <v>45844</v>
      </c>
      <c r="D28" s="176">
        <v>45864</v>
      </c>
      <c r="E28" s="176">
        <v>45873</v>
      </c>
      <c r="F28" s="161">
        <v>2663</v>
      </c>
      <c r="G28" s="154">
        <v>0</v>
      </c>
      <c r="H28" s="175">
        <v>2663</v>
      </c>
      <c r="I28" s="154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</row>
    <row r="29" spans="1:39" x14ac:dyDescent="0.15">
      <c r="A29" s="116">
        <v>2009</v>
      </c>
      <c r="B29" s="176">
        <v>45827</v>
      </c>
      <c r="C29" s="163">
        <v>45841</v>
      </c>
      <c r="D29" s="176">
        <v>45857</v>
      </c>
      <c r="E29" s="176">
        <v>45873</v>
      </c>
      <c r="F29" s="161">
        <v>2245</v>
      </c>
      <c r="G29" s="154">
        <v>0</v>
      </c>
      <c r="H29" s="175">
        <v>2245</v>
      </c>
      <c r="I29" s="154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</row>
    <row r="30" spans="1:39" x14ac:dyDescent="0.15">
      <c r="A30" s="116">
        <v>2010</v>
      </c>
      <c r="B30" s="176">
        <v>45827</v>
      </c>
      <c r="C30" s="163">
        <v>45830</v>
      </c>
      <c r="D30" s="176">
        <v>45861</v>
      </c>
      <c r="E30" s="176">
        <v>45871</v>
      </c>
      <c r="F30" s="161">
        <v>1057</v>
      </c>
      <c r="G30" s="154">
        <v>0</v>
      </c>
      <c r="H30" s="175">
        <v>1057</v>
      </c>
      <c r="I30" s="154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</row>
    <row r="31" spans="1:39" x14ac:dyDescent="0.15">
      <c r="A31" s="116">
        <v>2011</v>
      </c>
      <c r="B31" s="176">
        <v>45827</v>
      </c>
      <c r="C31" s="163">
        <v>45830</v>
      </c>
      <c r="D31" s="176">
        <v>45861</v>
      </c>
      <c r="E31" s="176">
        <v>45871</v>
      </c>
      <c r="F31" s="161">
        <v>1753</v>
      </c>
      <c r="G31" s="154">
        <v>0</v>
      </c>
      <c r="H31" s="175">
        <v>1753</v>
      </c>
      <c r="I31" s="154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</row>
    <row r="32" spans="1:39" x14ac:dyDescent="0.15">
      <c r="A32" s="116">
        <v>2012</v>
      </c>
      <c r="B32" s="176">
        <v>45835</v>
      </c>
      <c r="C32" s="163">
        <v>45845</v>
      </c>
      <c r="D32" s="176">
        <v>45864</v>
      </c>
      <c r="E32" s="176">
        <v>45874</v>
      </c>
      <c r="F32" s="154">
        <v>720</v>
      </c>
      <c r="G32" s="154">
        <v>0</v>
      </c>
      <c r="H32" s="177">
        <v>720</v>
      </c>
      <c r="I32" s="154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</row>
    <row r="33" spans="1:39" x14ac:dyDescent="0.15">
      <c r="A33" s="116">
        <v>2013</v>
      </c>
      <c r="B33" s="176">
        <v>45828</v>
      </c>
      <c r="C33" s="163">
        <v>45847</v>
      </c>
      <c r="D33" s="176">
        <v>45865</v>
      </c>
      <c r="E33" s="176">
        <v>45874</v>
      </c>
      <c r="F33" s="154">
        <v>878</v>
      </c>
      <c r="G33" s="154">
        <v>0</v>
      </c>
      <c r="H33" s="177">
        <v>878</v>
      </c>
      <c r="I33" s="154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</row>
    <row r="34" spans="1:39" x14ac:dyDescent="0.15">
      <c r="A34" s="116">
        <v>2014</v>
      </c>
      <c r="B34" s="176">
        <v>45831</v>
      </c>
      <c r="C34" s="163">
        <v>45856</v>
      </c>
      <c r="D34" s="163">
        <v>45866</v>
      </c>
      <c r="E34" s="163">
        <v>45869</v>
      </c>
      <c r="F34" s="154">
        <v>169</v>
      </c>
      <c r="G34" s="154"/>
      <c r="H34" s="177">
        <v>169</v>
      </c>
      <c r="I34" s="154">
        <v>394</v>
      </c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</row>
    <row r="35" spans="1:39" x14ac:dyDescent="0.15">
      <c r="A35" s="116">
        <v>2015</v>
      </c>
      <c r="B35" s="176">
        <v>45827</v>
      </c>
      <c r="C35" s="163">
        <v>45852</v>
      </c>
      <c r="D35" s="163">
        <v>45862</v>
      </c>
      <c r="E35" s="163">
        <v>45865</v>
      </c>
      <c r="F35" s="154">
        <v>450</v>
      </c>
      <c r="G35" s="154"/>
      <c r="H35" s="177">
        <v>450</v>
      </c>
      <c r="I35" s="154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</row>
    <row r="36" spans="1:39" x14ac:dyDescent="0.15">
      <c r="A36" s="116">
        <v>2016</v>
      </c>
      <c r="B36" s="176">
        <v>45830</v>
      </c>
      <c r="C36" s="163">
        <v>45846</v>
      </c>
      <c r="D36" s="163">
        <v>45866</v>
      </c>
      <c r="E36" s="163">
        <v>45874</v>
      </c>
      <c r="F36" s="154">
        <v>921</v>
      </c>
      <c r="G36" s="154"/>
      <c r="H36" s="177">
        <v>921</v>
      </c>
      <c r="I36" s="154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</row>
    <row r="37" spans="1:39" x14ac:dyDescent="0.15">
      <c r="A37" s="116">
        <v>2017</v>
      </c>
      <c r="B37" s="176">
        <v>45831</v>
      </c>
      <c r="C37" s="163">
        <v>45831</v>
      </c>
      <c r="D37" s="163">
        <v>45856</v>
      </c>
      <c r="E37" s="163">
        <v>45875</v>
      </c>
      <c r="F37" s="154">
        <v>492</v>
      </c>
      <c r="G37" s="154"/>
      <c r="H37" s="177">
        <v>492</v>
      </c>
      <c r="I37" s="154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</row>
    <row r="38" spans="1:39" x14ac:dyDescent="0.15">
      <c r="A38" s="116">
        <v>2018</v>
      </c>
      <c r="B38" s="176">
        <v>45831</v>
      </c>
      <c r="C38" s="163">
        <v>45831</v>
      </c>
      <c r="D38" s="163">
        <v>45856</v>
      </c>
      <c r="E38" s="163">
        <v>45869</v>
      </c>
      <c r="F38" s="154">
        <v>453</v>
      </c>
      <c r="G38" s="154"/>
      <c r="H38" s="177">
        <v>453</v>
      </c>
      <c r="I38" s="154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</row>
    <row r="39" spans="1:39" x14ac:dyDescent="0.15">
      <c r="A39" s="116">
        <v>2019</v>
      </c>
      <c r="B39" s="176">
        <v>45830</v>
      </c>
      <c r="C39" s="163">
        <v>45837</v>
      </c>
      <c r="D39" s="163">
        <v>45862</v>
      </c>
      <c r="E39" s="163">
        <v>45876</v>
      </c>
      <c r="F39" s="154">
        <v>536</v>
      </c>
      <c r="G39" s="154"/>
      <c r="H39" s="177">
        <v>536</v>
      </c>
      <c r="I39" s="154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</row>
    <row r="40" spans="1:39" x14ac:dyDescent="0.15">
      <c r="A40" s="116">
        <v>2020</v>
      </c>
      <c r="B40" s="176">
        <v>45838</v>
      </c>
      <c r="C40" s="163">
        <v>45843</v>
      </c>
      <c r="D40" s="163">
        <v>45865</v>
      </c>
      <c r="E40" s="163">
        <v>45877</v>
      </c>
      <c r="F40" s="154">
        <v>347</v>
      </c>
      <c r="G40" s="154"/>
      <c r="H40" s="177">
        <v>347</v>
      </c>
      <c r="I40" s="154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</row>
    <row r="41" spans="1:39" x14ac:dyDescent="0.15">
      <c r="A41" s="116">
        <v>2021</v>
      </c>
      <c r="B41" s="176">
        <v>45844</v>
      </c>
      <c r="C41" s="163">
        <v>45848</v>
      </c>
      <c r="D41" s="163">
        <v>45863</v>
      </c>
      <c r="E41" s="163">
        <v>45879</v>
      </c>
      <c r="F41" s="154">
        <v>987</v>
      </c>
      <c r="G41" s="154"/>
      <c r="H41" s="177">
        <v>987</v>
      </c>
      <c r="I41" s="154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</row>
    <row r="42" spans="1:39" x14ac:dyDescent="0.15">
      <c r="A42" s="116">
        <v>2022</v>
      </c>
      <c r="B42" s="176">
        <v>45846</v>
      </c>
      <c r="C42" s="163">
        <v>45848</v>
      </c>
      <c r="D42" s="163">
        <v>45862</v>
      </c>
      <c r="E42" s="163">
        <v>45868</v>
      </c>
      <c r="F42" s="154">
        <v>677</v>
      </c>
      <c r="G42" s="154"/>
      <c r="H42" s="177">
        <v>677</v>
      </c>
      <c r="I42" s="154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</row>
    <row r="43" spans="1:39" x14ac:dyDescent="0.15">
      <c r="A43" s="116">
        <v>2023</v>
      </c>
      <c r="B43" s="176">
        <v>45835</v>
      </c>
      <c r="C43" s="163">
        <v>45844</v>
      </c>
      <c r="D43" s="163">
        <v>45861</v>
      </c>
      <c r="E43" s="163">
        <v>45875</v>
      </c>
      <c r="F43" s="154">
        <v>363</v>
      </c>
      <c r="G43" s="154"/>
      <c r="H43" s="177">
        <v>363</v>
      </c>
      <c r="I43" s="154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</row>
    <row r="44" spans="1:39" x14ac:dyDescent="0.15">
      <c r="A44" s="110">
        <v>2024</v>
      </c>
      <c r="B44" s="178">
        <v>45839</v>
      </c>
      <c r="C44" s="179">
        <v>45843</v>
      </c>
      <c r="D44" s="179">
        <v>45857</v>
      </c>
      <c r="E44" s="179">
        <v>45875</v>
      </c>
      <c r="F44" s="157">
        <v>382</v>
      </c>
      <c r="G44" s="157"/>
      <c r="H44" s="180">
        <v>382</v>
      </c>
      <c r="I44" s="157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</row>
    <row r="45" spans="1:39" x14ac:dyDescent="0.15">
      <c r="A45" s="117" t="s">
        <v>24</v>
      </c>
      <c r="B45" s="171"/>
      <c r="C45" s="171"/>
      <c r="D45" s="171"/>
      <c r="E45" s="171"/>
      <c r="F45" s="171"/>
      <c r="G45" s="171"/>
      <c r="H45" s="171"/>
      <c r="I45" s="154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</row>
    <row r="46" spans="1:39" x14ac:dyDescent="0.15">
      <c r="A46" s="117" t="s">
        <v>315</v>
      </c>
      <c r="B46" s="170">
        <v>45830</v>
      </c>
      <c r="C46" s="170">
        <v>45837</v>
      </c>
      <c r="D46" s="170">
        <v>45859</v>
      </c>
      <c r="E46" s="170">
        <v>45871</v>
      </c>
      <c r="F46" s="162">
        <v>3910</v>
      </c>
      <c r="G46" s="171"/>
      <c r="H46" s="162">
        <v>3908</v>
      </c>
      <c r="I46" s="154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</row>
    <row r="47" spans="1:39" x14ac:dyDescent="0.15">
      <c r="A47" s="118" t="s">
        <v>302</v>
      </c>
      <c r="B47" s="172">
        <v>45834</v>
      </c>
      <c r="C47" s="172">
        <v>45843</v>
      </c>
      <c r="D47" s="172">
        <v>45861</v>
      </c>
      <c r="E47" s="172">
        <v>45872</v>
      </c>
      <c r="F47" s="169">
        <v>540</v>
      </c>
      <c r="G47" s="169"/>
      <c r="H47" s="169">
        <v>540</v>
      </c>
      <c r="I47" s="157"/>
      <c r="J47" s="154"/>
      <c r="K47" s="154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</row>
    <row r="48" spans="1:39" x14ac:dyDescent="0.15">
      <c r="A48" s="124" t="s">
        <v>109</v>
      </c>
      <c r="B48" s="154"/>
      <c r="C48" s="154"/>
      <c r="D48" s="154"/>
      <c r="E48" s="154"/>
      <c r="F48" s="42"/>
      <c r="G48" s="42"/>
      <c r="H48" s="138"/>
      <c r="I48" s="154"/>
      <c r="J48" s="42"/>
      <c r="K48" s="154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</row>
    <row r="49" spans="1:39" x14ac:dyDescent="0.15">
      <c r="A49" s="116">
        <v>1985</v>
      </c>
      <c r="B49" s="160">
        <v>45841</v>
      </c>
      <c r="C49" s="160">
        <v>45842</v>
      </c>
      <c r="D49" s="160">
        <v>45869</v>
      </c>
      <c r="E49" s="160">
        <v>45879</v>
      </c>
      <c r="F49" s="154">
        <v>316</v>
      </c>
      <c r="G49" s="154"/>
      <c r="H49" s="171">
        <v>316</v>
      </c>
      <c r="I49" s="154"/>
      <c r="J49" s="154"/>
      <c r="K49" s="154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</row>
    <row r="50" spans="1:39" x14ac:dyDescent="0.15">
      <c r="A50" s="116">
        <v>1986</v>
      </c>
      <c r="B50" s="160">
        <v>45836</v>
      </c>
      <c r="C50" s="160">
        <v>45841</v>
      </c>
      <c r="D50" s="160">
        <v>45863</v>
      </c>
      <c r="E50" s="160">
        <v>45875</v>
      </c>
      <c r="F50" s="154">
        <v>572</v>
      </c>
      <c r="G50" s="154"/>
      <c r="H50" s="171">
        <v>572</v>
      </c>
      <c r="I50" s="154"/>
      <c r="J50" s="154"/>
      <c r="K50" s="154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</row>
    <row r="51" spans="1:39" x14ac:dyDescent="0.15">
      <c r="A51" s="116">
        <v>1987</v>
      </c>
      <c r="B51" s="160">
        <v>45836</v>
      </c>
      <c r="C51" s="160">
        <v>45841</v>
      </c>
      <c r="D51" s="160">
        <v>45864</v>
      </c>
      <c r="E51" s="160">
        <v>45875</v>
      </c>
      <c r="F51" s="154">
        <v>365</v>
      </c>
      <c r="G51" s="154"/>
      <c r="H51" s="171">
        <v>365</v>
      </c>
      <c r="I51" s="154"/>
      <c r="J51" s="154"/>
      <c r="K51" s="154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</row>
    <row r="52" spans="1:39" x14ac:dyDescent="0.15">
      <c r="A52" s="116">
        <v>1988</v>
      </c>
      <c r="B52" s="160">
        <v>45834</v>
      </c>
      <c r="C52" s="160">
        <v>45835</v>
      </c>
      <c r="D52" s="160">
        <v>45855</v>
      </c>
      <c r="E52" s="160">
        <v>45871</v>
      </c>
      <c r="F52" s="154">
        <v>327</v>
      </c>
      <c r="G52" s="154"/>
      <c r="H52" s="171">
        <v>327</v>
      </c>
      <c r="I52" s="154"/>
      <c r="J52" s="154"/>
      <c r="K52" s="154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</row>
    <row r="53" spans="1:39" x14ac:dyDescent="0.15">
      <c r="A53" s="116">
        <v>1989</v>
      </c>
      <c r="B53" s="160">
        <v>45833</v>
      </c>
      <c r="C53" s="160">
        <v>45834</v>
      </c>
      <c r="D53" s="160">
        <v>45861</v>
      </c>
      <c r="E53" s="160">
        <v>45871</v>
      </c>
      <c r="F53" s="154">
        <v>199</v>
      </c>
      <c r="G53" s="154"/>
      <c r="H53" s="171">
        <v>199</v>
      </c>
      <c r="I53" s="154"/>
      <c r="J53" s="154"/>
      <c r="K53" s="154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</row>
    <row r="54" spans="1:39" x14ac:dyDescent="0.15">
      <c r="A54" s="116">
        <v>1990</v>
      </c>
      <c r="B54" s="160">
        <v>45830</v>
      </c>
      <c r="C54" s="160">
        <v>45843</v>
      </c>
      <c r="D54" s="160">
        <v>45860</v>
      </c>
      <c r="E54" s="160">
        <v>45868</v>
      </c>
      <c r="F54" s="154">
        <v>417</v>
      </c>
      <c r="G54" s="154"/>
      <c r="H54" s="171">
        <v>417</v>
      </c>
      <c r="I54" s="154"/>
      <c r="J54" s="154"/>
      <c r="K54" s="154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</row>
    <row r="55" spans="1:39" x14ac:dyDescent="0.15">
      <c r="A55" s="116">
        <v>1991</v>
      </c>
      <c r="B55" s="160">
        <v>45831</v>
      </c>
      <c r="C55" s="160">
        <v>45841</v>
      </c>
      <c r="D55" s="160">
        <v>45862</v>
      </c>
      <c r="E55" s="160">
        <v>45876</v>
      </c>
      <c r="F55" s="154">
        <v>313</v>
      </c>
      <c r="G55" s="154"/>
      <c r="H55" s="171">
        <v>313</v>
      </c>
      <c r="I55" s="154"/>
      <c r="J55" s="154"/>
      <c r="K55" s="154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</row>
    <row r="56" spans="1:39" x14ac:dyDescent="0.15">
      <c r="A56" s="116">
        <v>1992</v>
      </c>
      <c r="B56" s="160">
        <v>45832</v>
      </c>
      <c r="C56" s="160">
        <v>45850</v>
      </c>
      <c r="D56" s="160">
        <v>45860</v>
      </c>
      <c r="E56" s="160">
        <v>45868</v>
      </c>
      <c r="F56" s="154">
        <v>131</v>
      </c>
      <c r="G56" s="154"/>
      <c r="H56" s="171">
        <v>131</v>
      </c>
      <c r="I56" s="154"/>
      <c r="J56" s="154"/>
      <c r="K56" s="154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</row>
    <row r="57" spans="1:39" x14ac:dyDescent="0.15">
      <c r="A57" s="116">
        <v>1993</v>
      </c>
      <c r="B57" s="160">
        <v>45828</v>
      </c>
      <c r="C57" s="160">
        <v>45838</v>
      </c>
      <c r="D57" s="160">
        <v>45852</v>
      </c>
      <c r="E57" s="160">
        <v>45870</v>
      </c>
      <c r="F57" s="154">
        <v>60</v>
      </c>
      <c r="G57" s="154"/>
      <c r="H57" s="171">
        <v>60</v>
      </c>
      <c r="I57" s="154"/>
      <c r="J57" s="154"/>
      <c r="K57" s="154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</row>
    <row r="58" spans="1:39" x14ac:dyDescent="0.15">
      <c r="A58" s="116">
        <v>1994</v>
      </c>
      <c r="B58" s="160">
        <v>45826</v>
      </c>
      <c r="C58" s="160">
        <v>45840</v>
      </c>
      <c r="D58" s="160">
        <v>45860</v>
      </c>
      <c r="E58" s="160">
        <v>45874</v>
      </c>
      <c r="F58" s="154">
        <v>121</v>
      </c>
      <c r="G58" s="154"/>
      <c r="H58" s="171">
        <v>121</v>
      </c>
      <c r="I58" s="154"/>
      <c r="J58" s="154"/>
      <c r="K58" s="154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</row>
    <row r="59" spans="1:39" x14ac:dyDescent="0.15">
      <c r="A59" s="116">
        <v>1995</v>
      </c>
      <c r="B59" s="160">
        <v>45825</v>
      </c>
      <c r="C59" s="160">
        <v>45830</v>
      </c>
      <c r="D59" s="160">
        <v>45866</v>
      </c>
      <c r="E59" s="160">
        <v>45879</v>
      </c>
      <c r="F59" s="154">
        <v>135</v>
      </c>
      <c r="G59" s="154"/>
      <c r="H59" s="171">
        <v>135</v>
      </c>
      <c r="I59" s="154"/>
      <c r="J59" s="154"/>
      <c r="K59" s="154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</row>
    <row r="60" spans="1:39" x14ac:dyDescent="0.15">
      <c r="A60" s="116">
        <v>1996</v>
      </c>
      <c r="B60" s="160">
        <v>45825</v>
      </c>
      <c r="C60" s="159">
        <v>45850</v>
      </c>
      <c r="D60" s="159">
        <v>45863</v>
      </c>
      <c r="E60" s="159">
        <v>45874</v>
      </c>
      <c r="F60" s="154">
        <v>22</v>
      </c>
      <c r="G60" s="154"/>
      <c r="H60" s="171">
        <v>22</v>
      </c>
      <c r="I60" s="154"/>
      <c r="J60" s="154"/>
      <c r="K60" s="154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</row>
    <row r="61" spans="1:39" x14ac:dyDescent="0.15">
      <c r="A61" s="116">
        <v>1997</v>
      </c>
      <c r="B61" s="160">
        <v>45822</v>
      </c>
      <c r="C61" s="176">
        <v>45834</v>
      </c>
      <c r="D61" s="176">
        <v>45859</v>
      </c>
      <c r="E61" s="176">
        <v>45870</v>
      </c>
      <c r="F61" s="154">
        <v>54</v>
      </c>
      <c r="G61" s="154"/>
      <c r="H61" s="171">
        <v>54</v>
      </c>
      <c r="I61" s="154"/>
      <c r="J61" s="154"/>
      <c r="K61" s="154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</row>
    <row r="62" spans="1:39" x14ac:dyDescent="0.15">
      <c r="A62" s="116">
        <v>1998</v>
      </c>
      <c r="B62" s="160">
        <v>45821</v>
      </c>
      <c r="C62" s="176">
        <v>45834</v>
      </c>
      <c r="D62" s="176">
        <v>45858</v>
      </c>
      <c r="E62" s="176">
        <v>45876</v>
      </c>
      <c r="F62" s="154">
        <v>37</v>
      </c>
      <c r="G62" s="154"/>
      <c r="H62" s="171">
        <v>37</v>
      </c>
      <c r="I62" s="154"/>
      <c r="J62" s="154"/>
      <c r="K62" s="154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</row>
    <row r="63" spans="1:39" x14ac:dyDescent="0.15">
      <c r="A63" s="116">
        <v>1999</v>
      </c>
      <c r="B63" s="160">
        <v>45826</v>
      </c>
      <c r="C63" s="176">
        <v>45839</v>
      </c>
      <c r="D63" s="176">
        <v>45861</v>
      </c>
      <c r="E63" s="176">
        <v>45875</v>
      </c>
      <c r="F63" s="154">
        <v>202</v>
      </c>
      <c r="G63" s="154"/>
      <c r="H63" s="171">
        <v>202</v>
      </c>
      <c r="I63" s="154"/>
      <c r="J63" s="154"/>
      <c r="K63" s="154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</row>
    <row r="64" spans="1:39" x14ac:dyDescent="0.15">
      <c r="A64" s="116">
        <v>2000</v>
      </c>
      <c r="B64" s="160">
        <v>45827</v>
      </c>
      <c r="C64" s="176">
        <v>45831</v>
      </c>
      <c r="D64" s="176">
        <v>45858</v>
      </c>
      <c r="E64" s="176">
        <v>45874</v>
      </c>
      <c r="F64" s="154">
        <v>108</v>
      </c>
      <c r="G64" s="154"/>
      <c r="H64" s="171">
        <v>108</v>
      </c>
      <c r="I64" s="154"/>
      <c r="J64" s="154"/>
      <c r="K64" s="154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</row>
    <row r="65" spans="1:39" x14ac:dyDescent="0.15">
      <c r="A65" s="116">
        <v>2001</v>
      </c>
      <c r="B65" s="160">
        <v>45828</v>
      </c>
      <c r="C65" s="176">
        <v>45831</v>
      </c>
      <c r="D65" s="176">
        <v>45865</v>
      </c>
      <c r="E65" s="176">
        <v>45872</v>
      </c>
      <c r="F65" s="154">
        <v>269</v>
      </c>
      <c r="G65" s="154"/>
      <c r="H65" s="171">
        <v>269</v>
      </c>
      <c r="I65" s="154"/>
      <c r="J65" s="154"/>
      <c r="K65" s="154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</row>
    <row r="66" spans="1:39" x14ac:dyDescent="0.15">
      <c r="A66" s="116">
        <v>2002</v>
      </c>
      <c r="B66" s="160">
        <v>45828</v>
      </c>
      <c r="C66" s="176">
        <v>45834</v>
      </c>
      <c r="D66" s="176">
        <v>45859</v>
      </c>
      <c r="E66" s="176">
        <v>45876</v>
      </c>
      <c r="F66" s="154">
        <v>618</v>
      </c>
      <c r="G66" s="154"/>
      <c r="H66" s="171">
        <v>618</v>
      </c>
      <c r="I66" s="154"/>
      <c r="J66" s="154"/>
      <c r="K66" s="154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</row>
    <row r="67" spans="1:39" x14ac:dyDescent="0.15">
      <c r="A67" s="116">
        <v>2003</v>
      </c>
      <c r="B67" s="160">
        <v>45828</v>
      </c>
      <c r="C67" s="163">
        <v>45838</v>
      </c>
      <c r="D67" s="163">
        <v>45859</v>
      </c>
      <c r="E67" s="163">
        <v>45874</v>
      </c>
      <c r="F67" s="42">
        <v>334</v>
      </c>
      <c r="G67" s="154"/>
      <c r="H67" s="171">
        <v>334</v>
      </c>
      <c r="I67" s="154"/>
      <c r="J67" s="154"/>
      <c r="K67" s="154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</row>
    <row r="68" spans="1:39" x14ac:dyDescent="0.15">
      <c r="A68" s="116">
        <v>2004</v>
      </c>
      <c r="B68" s="160">
        <v>45826</v>
      </c>
      <c r="C68" s="163">
        <v>45829</v>
      </c>
      <c r="D68" s="163">
        <v>45857</v>
      </c>
      <c r="E68" s="163">
        <v>45869</v>
      </c>
      <c r="F68" s="42">
        <v>250</v>
      </c>
      <c r="G68" s="154"/>
      <c r="H68" s="171">
        <v>250</v>
      </c>
      <c r="I68" s="154"/>
      <c r="J68" s="154"/>
      <c r="K68" s="154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</row>
    <row r="69" spans="1:39" x14ac:dyDescent="0.15">
      <c r="A69" s="116">
        <v>2005</v>
      </c>
      <c r="B69" s="160">
        <v>45827</v>
      </c>
      <c r="C69" s="163">
        <v>45837</v>
      </c>
      <c r="D69" s="163">
        <v>45861</v>
      </c>
      <c r="E69" s="163">
        <v>45873</v>
      </c>
      <c r="F69" s="42">
        <v>231</v>
      </c>
      <c r="G69" s="154"/>
      <c r="H69" s="171">
        <v>231</v>
      </c>
      <c r="I69" s="154"/>
      <c r="J69" s="154"/>
      <c r="K69" s="154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</row>
    <row r="70" spans="1:39" x14ac:dyDescent="0.15">
      <c r="A70" s="116">
        <v>2006</v>
      </c>
      <c r="B70" s="160">
        <v>45828</v>
      </c>
      <c r="C70" s="163">
        <v>45845</v>
      </c>
      <c r="D70" s="163">
        <v>45861</v>
      </c>
      <c r="E70" s="163">
        <v>45874</v>
      </c>
      <c r="F70" s="42">
        <v>93</v>
      </c>
      <c r="G70" s="154"/>
      <c r="H70" s="171">
        <v>93</v>
      </c>
      <c r="I70" s="154"/>
      <c r="J70" s="154"/>
      <c r="K70" s="154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</row>
    <row r="71" spans="1:39" x14ac:dyDescent="0.15">
      <c r="A71" s="116">
        <v>2007</v>
      </c>
      <c r="B71" s="160">
        <v>45842</v>
      </c>
      <c r="C71" s="163">
        <v>45853</v>
      </c>
      <c r="D71" s="163">
        <v>45867</v>
      </c>
      <c r="E71" s="163">
        <v>45870</v>
      </c>
      <c r="F71" s="42">
        <v>12</v>
      </c>
      <c r="G71" s="154"/>
      <c r="H71" s="171">
        <v>12</v>
      </c>
      <c r="I71" s="154"/>
      <c r="J71" s="154"/>
      <c r="K71" s="154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</row>
    <row r="72" spans="1:39" x14ac:dyDescent="0.15">
      <c r="A72" s="116">
        <v>2008</v>
      </c>
      <c r="B72" s="160">
        <v>45827</v>
      </c>
      <c r="C72" s="163">
        <v>45852</v>
      </c>
      <c r="D72" s="163">
        <v>45863</v>
      </c>
      <c r="E72" s="163">
        <v>45867</v>
      </c>
      <c r="F72" s="42">
        <v>139</v>
      </c>
      <c r="G72" s="154"/>
      <c r="H72" s="171">
        <v>139</v>
      </c>
      <c r="I72" s="154"/>
      <c r="J72" s="154"/>
      <c r="K72" s="154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</row>
    <row r="73" spans="1:39" x14ac:dyDescent="0.15">
      <c r="A73" s="116">
        <v>2009</v>
      </c>
      <c r="B73" s="176">
        <v>45827</v>
      </c>
      <c r="C73" s="163">
        <v>45847</v>
      </c>
      <c r="D73" s="163">
        <v>45857</v>
      </c>
      <c r="E73" s="163">
        <v>45873</v>
      </c>
      <c r="F73" s="42">
        <v>99</v>
      </c>
      <c r="G73" s="154"/>
      <c r="H73" s="171">
        <v>99</v>
      </c>
      <c r="I73" s="154"/>
      <c r="J73" s="154"/>
      <c r="K73" s="154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</row>
    <row r="74" spans="1:39" x14ac:dyDescent="0.15">
      <c r="A74" s="116">
        <v>2010</v>
      </c>
      <c r="B74" s="176">
        <v>45827</v>
      </c>
      <c r="C74" s="163">
        <v>45845</v>
      </c>
      <c r="D74" s="163">
        <v>45864</v>
      </c>
      <c r="E74" s="163">
        <v>45873</v>
      </c>
      <c r="F74" s="154">
        <v>221</v>
      </c>
      <c r="G74" s="154"/>
      <c r="H74" s="171">
        <v>221</v>
      </c>
      <c r="I74" s="154"/>
      <c r="J74" s="154"/>
      <c r="K74" s="154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</row>
    <row r="75" spans="1:39" x14ac:dyDescent="0.15">
      <c r="A75" s="116">
        <v>2011</v>
      </c>
      <c r="B75" s="176">
        <v>45835</v>
      </c>
      <c r="C75" s="163">
        <v>45845</v>
      </c>
      <c r="D75" s="163">
        <v>45864</v>
      </c>
      <c r="E75" s="163">
        <v>45873</v>
      </c>
      <c r="F75" s="154">
        <v>194</v>
      </c>
      <c r="G75" s="154"/>
      <c r="H75" s="171">
        <v>194</v>
      </c>
      <c r="I75" s="154"/>
      <c r="J75" s="154"/>
      <c r="K75" s="154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</row>
    <row r="76" spans="1:39" x14ac:dyDescent="0.15">
      <c r="A76" s="116">
        <v>2012</v>
      </c>
      <c r="B76" s="163">
        <v>45835</v>
      </c>
      <c r="C76" s="163">
        <v>45849</v>
      </c>
      <c r="D76" s="163">
        <v>45856</v>
      </c>
      <c r="E76" s="163">
        <v>45865</v>
      </c>
      <c r="F76" s="42">
        <v>51</v>
      </c>
      <c r="G76" s="154"/>
      <c r="H76" s="171">
        <v>51</v>
      </c>
      <c r="I76" s="154"/>
      <c r="J76" s="154"/>
      <c r="K76" s="154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</row>
    <row r="77" spans="1:39" x14ac:dyDescent="0.15">
      <c r="A77" s="116">
        <v>2013</v>
      </c>
      <c r="B77" s="176">
        <v>45828</v>
      </c>
      <c r="C77" s="163">
        <v>45851</v>
      </c>
      <c r="D77" s="163">
        <v>45865</v>
      </c>
      <c r="E77" s="163">
        <v>45872</v>
      </c>
      <c r="F77" s="154">
        <v>183</v>
      </c>
      <c r="G77" s="154"/>
      <c r="H77" s="171">
        <v>183</v>
      </c>
      <c r="I77" s="154"/>
      <c r="J77" s="154"/>
      <c r="K77" s="154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</row>
    <row r="78" spans="1:39" ht="15" x14ac:dyDescent="0.15">
      <c r="A78" s="116" t="s">
        <v>356</v>
      </c>
      <c r="B78" s="176">
        <v>45831</v>
      </c>
      <c r="C78" s="163">
        <v>45856</v>
      </c>
      <c r="D78" s="163">
        <v>45866</v>
      </c>
      <c r="E78" s="163">
        <v>45869</v>
      </c>
      <c r="F78" s="154">
        <v>39</v>
      </c>
      <c r="G78" s="154"/>
      <c r="H78" s="171">
        <v>39</v>
      </c>
      <c r="I78" s="154">
        <v>91</v>
      </c>
      <c r="J78" s="154"/>
      <c r="K78" s="154"/>
      <c r="L78" s="154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</row>
    <row r="79" spans="1:39" x14ac:dyDescent="0.15">
      <c r="A79" s="116">
        <v>2015</v>
      </c>
      <c r="B79" s="176">
        <v>45827</v>
      </c>
      <c r="C79" s="163">
        <v>45852</v>
      </c>
      <c r="D79" s="163">
        <v>45862</v>
      </c>
      <c r="E79" s="163">
        <v>45865</v>
      </c>
      <c r="F79" s="154">
        <v>490</v>
      </c>
      <c r="G79" s="154"/>
      <c r="H79" s="171">
        <v>490</v>
      </c>
      <c r="I79" s="154"/>
      <c r="J79" s="154"/>
      <c r="K79" s="154"/>
      <c r="L79" s="154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</row>
    <row r="80" spans="1:39" x14ac:dyDescent="0.15">
      <c r="A80" s="116">
        <v>2016</v>
      </c>
      <c r="B80" s="176">
        <v>45830</v>
      </c>
      <c r="C80" s="163">
        <v>45847</v>
      </c>
      <c r="D80" s="163">
        <v>45866</v>
      </c>
      <c r="E80" s="163">
        <v>45875</v>
      </c>
      <c r="F80" s="154">
        <v>318</v>
      </c>
      <c r="G80" s="154"/>
      <c r="H80" s="171">
        <v>318</v>
      </c>
      <c r="I80" s="154"/>
      <c r="J80" s="154"/>
      <c r="K80" s="119"/>
      <c r="L80" s="89"/>
      <c r="M80" s="8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</row>
    <row r="81" spans="1:39" x14ac:dyDescent="0.15">
      <c r="A81" s="116">
        <v>2017</v>
      </c>
      <c r="B81" s="176">
        <v>45831</v>
      </c>
      <c r="C81" s="163">
        <v>45834</v>
      </c>
      <c r="D81" s="163">
        <v>45864</v>
      </c>
      <c r="E81" s="163">
        <v>45876</v>
      </c>
      <c r="F81" s="154">
        <v>311</v>
      </c>
      <c r="G81" s="154"/>
      <c r="H81" s="171">
        <v>311</v>
      </c>
      <c r="I81" s="154"/>
      <c r="J81" s="154"/>
      <c r="K81" s="119"/>
      <c r="L81" s="89"/>
      <c r="M81" s="8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</row>
    <row r="82" spans="1:39" x14ac:dyDescent="0.15">
      <c r="A82" s="116">
        <v>2018</v>
      </c>
      <c r="B82" s="176">
        <v>45832</v>
      </c>
      <c r="C82" s="163">
        <v>45839</v>
      </c>
      <c r="D82" s="163">
        <v>45865</v>
      </c>
      <c r="E82" s="163">
        <v>45873</v>
      </c>
      <c r="F82" s="154">
        <v>413</v>
      </c>
      <c r="G82" s="154"/>
      <c r="H82" s="171">
        <v>413</v>
      </c>
      <c r="I82" s="154"/>
      <c r="J82" s="154"/>
      <c r="K82" s="119"/>
      <c r="L82" s="89"/>
      <c r="M82" s="8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</row>
    <row r="83" spans="1:39" x14ac:dyDescent="0.15">
      <c r="A83" s="116">
        <v>2019</v>
      </c>
      <c r="B83" s="176">
        <v>45831</v>
      </c>
      <c r="C83" s="163">
        <v>45833</v>
      </c>
      <c r="D83" s="163">
        <v>45869</v>
      </c>
      <c r="E83" s="163">
        <v>45875</v>
      </c>
      <c r="F83" s="161">
        <v>1002</v>
      </c>
      <c r="G83" s="154"/>
      <c r="H83" s="162">
        <v>1002</v>
      </c>
      <c r="I83" s="154"/>
      <c r="J83" s="154"/>
      <c r="K83" s="119"/>
      <c r="L83" s="89"/>
      <c r="M83" s="8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</row>
    <row r="84" spans="1:39" x14ac:dyDescent="0.15">
      <c r="A84" s="116">
        <v>2020</v>
      </c>
      <c r="B84" s="176">
        <v>45838</v>
      </c>
      <c r="C84" s="163">
        <v>45842</v>
      </c>
      <c r="D84" s="163">
        <v>45871</v>
      </c>
      <c r="E84" s="163">
        <v>45882</v>
      </c>
      <c r="F84" s="161">
        <v>1069</v>
      </c>
      <c r="G84" s="154"/>
      <c r="H84" s="162">
        <v>1069</v>
      </c>
      <c r="I84" s="154"/>
      <c r="J84" s="154"/>
      <c r="K84" s="119"/>
      <c r="L84" s="89"/>
      <c r="M84" s="8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</row>
    <row r="85" spans="1:39" x14ac:dyDescent="0.15">
      <c r="A85" s="116">
        <v>2021</v>
      </c>
      <c r="B85" s="176">
        <v>45844</v>
      </c>
      <c r="C85" s="163">
        <v>45850</v>
      </c>
      <c r="D85" s="163">
        <v>45871</v>
      </c>
      <c r="E85" s="163">
        <v>45881</v>
      </c>
      <c r="F85" s="154">
        <v>484</v>
      </c>
      <c r="G85" s="154"/>
      <c r="H85" s="171">
        <v>484</v>
      </c>
      <c r="I85" s="154"/>
      <c r="J85" s="154"/>
      <c r="K85" s="119"/>
      <c r="L85" s="89"/>
      <c r="M85" s="8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</row>
    <row r="86" spans="1:39" x14ac:dyDescent="0.15">
      <c r="A86" s="116">
        <v>2022</v>
      </c>
      <c r="B86" s="176">
        <v>45846</v>
      </c>
      <c r="C86" s="163">
        <v>45848</v>
      </c>
      <c r="D86" s="163">
        <v>45865</v>
      </c>
      <c r="E86" s="163">
        <v>45876</v>
      </c>
      <c r="F86" s="154">
        <v>520</v>
      </c>
      <c r="G86" s="154"/>
      <c r="H86" s="171">
        <v>520</v>
      </c>
      <c r="I86" s="154"/>
      <c r="J86" s="154"/>
      <c r="K86" s="119"/>
      <c r="L86" s="89"/>
      <c r="M86" s="8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</row>
    <row r="87" spans="1:39" x14ac:dyDescent="0.15">
      <c r="A87" s="116">
        <v>2023</v>
      </c>
      <c r="B87" s="176">
        <v>45835</v>
      </c>
      <c r="C87" s="163">
        <v>45842</v>
      </c>
      <c r="D87" s="163">
        <v>45872</v>
      </c>
      <c r="E87" s="163">
        <v>45880</v>
      </c>
      <c r="F87" s="154">
        <v>432</v>
      </c>
      <c r="G87" s="154"/>
      <c r="H87" s="171">
        <v>432</v>
      </c>
      <c r="I87" s="154"/>
      <c r="J87" s="154"/>
      <c r="K87" s="119"/>
      <c r="L87" s="89"/>
      <c r="M87" s="8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1:39" x14ac:dyDescent="0.15">
      <c r="A88" s="110">
        <v>2024</v>
      </c>
      <c r="B88" s="178">
        <v>45839</v>
      </c>
      <c r="C88" s="179">
        <v>45840</v>
      </c>
      <c r="D88" s="179">
        <v>45866</v>
      </c>
      <c r="E88" s="179">
        <v>45879</v>
      </c>
      <c r="F88" s="168">
        <v>1414</v>
      </c>
      <c r="G88" s="157"/>
      <c r="H88" s="168">
        <v>1414</v>
      </c>
      <c r="I88" s="157"/>
      <c r="J88" s="154"/>
      <c r="K88" s="119"/>
      <c r="L88" s="89"/>
      <c r="M88" s="8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</row>
    <row r="89" spans="1:39" x14ac:dyDescent="0.15">
      <c r="A89" s="116" t="s">
        <v>24</v>
      </c>
      <c r="B89" s="154"/>
      <c r="C89" s="154"/>
      <c r="D89" s="154"/>
      <c r="E89" s="154"/>
      <c r="F89" s="154"/>
      <c r="G89" s="154"/>
      <c r="H89" s="171"/>
      <c r="I89" s="154"/>
      <c r="J89" s="154"/>
      <c r="K89" s="119"/>
      <c r="L89" s="89"/>
      <c r="M89" s="8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</row>
    <row r="90" spans="1:39" x14ac:dyDescent="0.15">
      <c r="A90" s="117" t="s">
        <v>315</v>
      </c>
      <c r="B90" s="170">
        <v>45830</v>
      </c>
      <c r="C90" s="170">
        <v>45841</v>
      </c>
      <c r="D90" s="170">
        <v>45862</v>
      </c>
      <c r="E90" s="170">
        <v>45873</v>
      </c>
      <c r="F90" s="171">
        <v>286</v>
      </c>
      <c r="G90" s="154"/>
      <c r="H90" s="171">
        <v>286</v>
      </c>
      <c r="I90" s="154"/>
      <c r="J90" s="154"/>
      <c r="K90" s="154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</row>
    <row r="91" spans="1:39" x14ac:dyDescent="0.15">
      <c r="A91" s="118" t="s">
        <v>302</v>
      </c>
      <c r="B91" s="172">
        <v>45834</v>
      </c>
      <c r="C91" s="172">
        <v>45844</v>
      </c>
      <c r="D91" s="172">
        <v>45867</v>
      </c>
      <c r="E91" s="172">
        <v>45875</v>
      </c>
      <c r="F91" s="169">
        <v>508</v>
      </c>
      <c r="G91" s="157"/>
      <c r="H91" s="169">
        <v>508</v>
      </c>
      <c r="I91" s="157"/>
      <c r="J91" s="154"/>
      <c r="K91" s="181"/>
      <c r="L91" s="154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39" ht="15" x14ac:dyDescent="0.15">
      <c r="A92" s="144" t="s">
        <v>357</v>
      </c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6"/>
  <sheetViews>
    <sheetView topLeftCell="A6" workbookViewId="0">
      <selection activeCell="C34" sqref="C34:C42"/>
    </sheetView>
  </sheetViews>
  <sheetFormatPr baseColWidth="10" defaultColWidth="8.83203125" defaultRowHeight="15" x14ac:dyDescent="0.2"/>
  <sheetData>
    <row r="1" spans="1:10" x14ac:dyDescent="0.2">
      <c r="A1" s="104" t="s">
        <v>256</v>
      </c>
      <c r="B1" s="104"/>
      <c r="C1" s="41"/>
      <c r="D1" s="41"/>
      <c r="E1" s="41"/>
      <c r="F1" s="41"/>
      <c r="G1" s="41"/>
      <c r="H1" s="41"/>
      <c r="I1" s="41"/>
      <c r="J1" s="41"/>
    </row>
    <row r="2" spans="1:10" x14ac:dyDescent="0.2">
      <c r="A2" s="40"/>
      <c r="B2" s="40" t="s">
        <v>110</v>
      </c>
      <c r="C2" s="38"/>
      <c r="D2" s="38"/>
      <c r="E2" s="38"/>
      <c r="F2" s="38"/>
      <c r="G2" s="38"/>
      <c r="H2" s="38"/>
      <c r="I2" s="38"/>
      <c r="J2" s="38"/>
    </row>
    <row r="3" spans="1:10" x14ac:dyDescent="0.2">
      <c r="A3" s="40"/>
      <c r="B3" s="102" t="s">
        <v>111</v>
      </c>
      <c r="C3" s="41"/>
      <c r="D3" s="41"/>
      <c r="E3" s="41"/>
      <c r="F3" s="41"/>
      <c r="G3" s="41"/>
      <c r="H3" s="41"/>
      <c r="I3" s="41"/>
      <c r="J3" s="41"/>
    </row>
    <row r="4" spans="1:10" x14ac:dyDescent="0.2">
      <c r="A4" s="206"/>
      <c r="B4" s="206"/>
      <c r="C4" s="207" t="s">
        <v>316</v>
      </c>
      <c r="D4" s="207"/>
      <c r="E4" s="207"/>
      <c r="F4" s="207"/>
      <c r="G4" s="207"/>
      <c r="H4" s="207"/>
      <c r="I4" s="207"/>
      <c r="J4" s="207"/>
    </row>
    <row r="5" spans="1:10" ht="17" x14ac:dyDescent="0.3">
      <c r="A5" s="206"/>
      <c r="B5" s="206"/>
      <c r="C5" s="193" t="s">
        <v>113</v>
      </c>
      <c r="D5" s="193"/>
      <c r="E5" s="207" t="s">
        <v>114</v>
      </c>
      <c r="F5" s="207"/>
      <c r="G5" s="38" t="s">
        <v>3</v>
      </c>
      <c r="H5" s="38" t="s">
        <v>317</v>
      </c>
      <c r="I5" s="38" t="s">
        <v>4</v>
      </c>
      <c r="J5" s="38" t="s">
        <v>5</v>
      </c>
    </row>
    <row r="6" spans="1:10" x14ac:dyDescent="0.2">
      <c r="A6" s="40"/>
      <c r="B6" s="102" t="s">
        <v>10</v>
      </c>
      <c r="C6" s="41" t="s">
        <v>115</v>
      </c>
      <c r="D6" s="41" t="s">
        <v>116</v>
      </c>
      <c r="E6" s="41" t="s">
        <v>117</v>
      </c>
      <c r="F6" s="41" t="s">
        <v>118</v>
      </c>
      <c r="G6" s="41" t="s">
        <v>119</v>
      </c>
      <c r="H6" s="41" t="s">
        <v>318</v>
      </c>
      <c r="I6" s="41" t="s">
        <v>64</v>
      </c>
      <c r="J6" s="41" t="s">
        <v>14</v>
      </c>
    </row>
    <row r="7" spans="1:10" x14ac:dyDescent="0.2">
      <c r="A7" s="40"/>
      <c r="B7" s="40">
        <v>1989</v>
      </c>
      <c r="C7" s="39">
        <v>40329</v>
      </c>
      <c r="D7" s="38" t="s">
        <v>11</v>
      </c>
      <c r="E7" s="39">
        <v>29263</v>
      </c>
      <c r="F7" s="39">
        <v>51395</v>
      </c>
      <c r="G7" s="39">
        <v>1232</v>
      </c>
      <c r="H7" s="39">
        <v>41561</v>
      </c>
      <c r="I7" s="106"/>
      <c r="J7" s="106"/>
    </row>
    <row r="8" spans="1:10" x14ac:dyDescent="0.2">
      <c r="A8" s="40"/>
      <c r="B8" s="40">
        <v>1990</v>
      </c>
      <c r="C8" s="39">
        <v>52142</v>
      </c>
      <c r="D8" s="38" t="s">
        <v>11</v>
      </c>
      <c r="E8" s="39">
        <v>33863</v>
      </c>
      <c r="F8" s="39">
        <v>70421</v>
      </c>
      <c r="G8" s="39">
        <v>1606</v>
      </c>
      <c r="H8" s="39">
        <v>53748</v>
      </c>
      <c r="I8" s="106"/>
      <c r="J8" s="106"/>
    </row>
    <row r="9" spans="1:10" x14ac:dyDescent="0.2">
      <c r="A9" s="40"/>
      <c r="B9" s="40">
        <v>1991</v>
      </c>
      <c r="C9" s="39">
        <v>51645</v>
      </c>
      <c r="D9" s="38" t="s">
        <v>121</v>
      </c>
      <c r="E9" s="39">
        <v>17072</v>
      </c>
      <c r="F9" s="39">
        <v>86218</v>
      </c>
      <c r="G9" s="39">
        <v>1477</v>
      </c>
      <c r="H9" s="39">
        <v>53122</v>
      </c>
      <c r="I9" s="106"/>
      <c r="J9" s="106"/>
    </row>
    <row r="10" spans="1:10" x14ac:dyDescent="0.2">
      <c r="A10" s="40"/>
      <c r="B10" s="40">
        <v>1992</v>
      </c>
      <c r="C10" s="39">
        <v>55889</v>
      </c>
      <c r="D10" s="38" t="s">
        <v>121</v>
      </c>
      <c r="E10" s="39">
        <v>18475</v>
      </c>
      <c r="F10" s="39">
        <v>93303</v>
      </c>
      <c r="G10" s="39">
        <v>1866</v>
      </c>
      <c r="H10" s="39">
        <v>57755</v>
      </c>
      <c r="I10" s="107"/>
      <c r="J10" s="106"/>
    </row>
    <row r="11" spans="1:10" x14ac:dyDescent="0.2">
      <c r="A11" s="40"/>
      <c r="B11" s="40">
        <v>1993</v>
      </c>
      <c r="C11" s="39">
        <v>66125</v>
      </c>
      <c r="D11" s="38" t="s">
        <v>121</v>
      </c>
      <c r="E11" s="39">
        <v>21858</v>
      </c>
      <c r="F11" s="39">
        <v>110392</v>
      </c>
      <c r="G11" s="39">
        <v>1944</v>
      </c>
      <c r="H11" s="39">
        <v>68069</v>
      </c>
      <c r="I11" s="106"/>
      <c r="J11" s="106"/>
    </row>
    <row r="12" spans="1:10" x14ac:dyDescent="0.2">
      <c r="A12" s="40"/>
      <c r="B12" s="40">
        <v>1994</v>
      </c>
      <c r="C12" s="39">
        <v>48368</v>
      </c>
      <c r="D12" s="38" t="s">
        <v>121</v>
      </c>
      <c r="E12" s="39">
        <v>15989</v>
      </c>
      <c r="F12" s="39">
        <v>80747</v>
      </c>
      <c r="G12" s="39">
        <v>2484</v>
      </c>
      <c r="H12" s="39">
        <v>50852</v>
      </c>
      <c r="I12" s="106"/>
      <c r="J12" s="106"/>
    </row>
    <row r="13" spans="1:10" x14ac:dyDescent="0.2">
      <c r="A13" s="40"/>
      <c r="B13" s="40">
        <v>1995</v>
      </c>
      <c r="C13" s="39">
        <v>33805</v>
      </c>
      <c r="D13" s="38" t="s">
        <v>122</v>
      </c>
      <c r="E13" s="39">
        <v>23887</v>
      </c>
      <c r="F13" s="39">
        <v>43723</v>
      </c>
      <c r="G13" s="39">
        <v>1752</v>
      </c>
      <c r="H13" s="39">
        <v>35557</v>
      </c>
      <c r="I13" s="39">
        <v>6263</v>
      </c>
      <c r="J13" s="39">
        <v>41820</v>
      </c>
    </row>
    <row r="14" spans="1:10" x14ac:dyDescent="0.2">
      <c r="A14" s="40"/>
      <c r="B14" s="40">
        <v>1996</v>
      </c>
      <c r="C14" s="39">
        <v>79019</v>
      </c>
      <c r="D14" s="38" t="s">
        <v>11</v>
      </c>
      <c r="E14" s="39">
        <v>61285</v>
      </c>
      <c r="F14" s="39">
        <v>96753</v>
      </c>
      <c r="G14" s="39">
        <v>3499</v>
      </c>
      <c r="H14" s="39">
        <v>82518</v>
      </c>
      <c r="I14" s="39">
        <v>6280</v>
      </c>
      <c r="J14" s="39">
        <v>88798</v>
      </c>
    </row>
    <row r="15" spans="1:10" x14ac:dyDescent="0.2">
      <c r="A15" s="40"/>
      <c r="B15" s="40">
        <v>1997</v>
      </c>
      <c r="C15" s="39">
        <v>114938</v>
      </c>
      <c r="D15" s="38" t="s">
        <v>11</v>
      </c>
      <c r="E15" s="39">
        <v>79878</v>
      </c>
      <c r="F15" s="39">
        <v>149998</v>
      </c>
      <c r="G15" s="39">
        <v>2939</v>
      </c>
      <c r="H15" s="39">
        <v>117877</v>
      </c>
      <c r="I15" s="39">
        <v>8325</v>
      </c>
      <c r="J15" s="39">
        <v>126202</v>
      </c>
    </row>
    <row r="16" spans="1:10" x14ac:dyDescent="0.2">
      <c r="A16" s="40"/>
      <c r="B16" s="40">
        <v>1998</v>
      </c>
      <c r="C16" s="39">
        <v>31039</v>
      </c>
      <c r="D16" s="38" t="s">
        <v>121</v>
      </c>
      <c r="E16" s="39">
        <v>10255</v>
      </c>
      <c r="F16" s="39">
        <v>51823</v>
      </c>
      <c r="G16" s="39">
        <v>1272</v>
      </c>
      <c r="H16" s="39">
        <v>32311</v>
      </c>
      <c r="I16" s="39">
        <v>2605</v>
      </c>
      <c r="J16" s="39">
        <v>34916</v>
      </c>
    </row>
    <row r="17" spans="1:10" x14ac:dyDescent="0.2">
      <c r="A17" s="40"/>
      <c r="B17" s="40">
        <v>1999</v>
      </c>
      <c r="C17" s="39">
        <v>16786</v>
      </c>
      <c r="D17" s="38" t="s">
        <v>11</v>
      </c>
      <c r="E17" s="39">
        <v>10571</v>
      </c>
      <c r="F17" s="39">
        <v>23001</v>
      </c>
      <c r="G17" s="39">
        <v>1640</v>
      </c>
      <c r="H17" s="39">
        <v>18426</v>
      </c>
      <c r="I17" s="39">
        <v>4019</v>
      </c>
      <c r="J17" s="39">
        <v>22445</v>
      </c>
    </row>
    <row r="18" spans="1:10" x14ac:dyDescent="0.2">
      <c r="A18" s="40"/>
      <c r="B18" s="40">
        <v>2000</v>
      </c>
      <c r="C18" s="39">
        <v>34997</v>
      </c>
      <c r="D18" s="38" t="s">
        <v>11</v>
      </c>
      <c r="E18" s="39">
        <v>24407</v>
      </c>
      <c r="F18" s="39">
        <v>45587</v>
      </c>
      <c r="G18" s="39">
        <v>3043</v>
      </c>
      <c r="H18" s="39">
        <v>38040</v>
      </c>
      <c r="I18" s="39">
        <v>3472</v>
      </c>
      <c r="J18" s="39">
        <v>41512</v>
      </c>
    </row>
    <row r="19" spans="1:10" x14ac:dyDescent="0.2">
      <c r="A19" s="40"/>
      <c r="B19" s="40">
        <v>2001</v>
      </c>
      <c r="C19" s="39">
        <v>46544</v>
      </c>
      <c r="D19" s="38" t="s">
        <v>11</v>
      </c>
      <c r="E19" s="39">
        <v>33383</v>
      </c>
      <c r="F19" s="39">
        <v>59905</v>
      </c>
      <c r="G19" s="39">
        <v>2863</v>
      </c>
      <c r="H19" s="39">
        <v>49407</v>
      </c>
      <c r="I19" s="39">
        <v>3883</v>
      </c>
      <c r="J19" s="39">
        <v>53290</v>
      </c>
    </row>
    <row r="20" spans="1:10" x14ac:dyDescent="0.2">
      <c r="A20" s="40"/>
      <c r="B20" s="40">
        <v>2002</v>
      </c>
      <c r="C20" s="39">
        <v>55044</v>
      </c>
      <c r="D20" s="38" t="s">
        <v>11</v>
      </c>
      <c r="E20" s="39">
        <v>33313</v>
      </c>
      <c r="F20" s="39">
        <v>76775</v>
      </c>
      <c r="G20" s="39">
        <v>3014</v>
      </c>
      <c r="H20" s="39">
        <v>58058</v>
      </c>
      <c r="I20" s="39">
        <v>3282</v>
      </c>
      <c r="J20" s="39">
        <v>61340</v>
      </c>
    </row>
    <row r="21" spans="1:10" x14ac:dyDescent="0.2">
      <c r="A21" s="40"/>
      <c r="B21" s="40">
        <v>2003</v>
      </c>
      <c r="C21" s="39">
        <v>36435</v>
      </c>
      <c r="D21" s="38" t="s">
        <v>11</v>
      </c>
      <c r="E21" s="39">
        <v>23293</v>
      </c>
      <c r="F21" s="39">
        <v>49577</v>
      </c>
      <c r="G21" s="39">
        <v>3679</v>
      </c>
      <c r="H21" s="39">
        <v>40114</v>
      </c>
      <c r="I21" s="39">
        <v>2768</v>
      </c>
      <c r="J21" s="39">
        <v>42882</v>
      </c>
    </row>
    <row r="22" spans="1:10" x14ac:dyDescent="0.2">
      <c r="A22" s="40"/>
      <c r="B22" s="40">
        <v>2004</v>
      </c>
      <c r="C22" s="39">
        <v>75032</v>
      </c>
      <c r="D22" s="38" t="s">
        <v>11</v>
      </c>
      <c r="E22" s="39">
        <v>54883</v>
      </c>
      <c r="F22" s="39">
        <v>95181</v>
      </c>
      <c r="G22" s="39">
        <v>3953</v>
      </c>
      <c r="H22" s="39">
        <v>78985</v>
      </c>
      <c r="I22" s="39">
        <v>3696</v>
      </c>
      <c r="J22" s="39">
        <v>82681</v>
      </c>
    </row>
    <row r="23" spans="1:10" x14ac:dyDescent="0.2">
      <c r="A23" s="40"/>
      <c r="B23" s="40">
        <v>2005</v>
      </c>
      <c r="C23" s="39">
        <v>38599</v>
      </c>
      <c r="D23" s="38" t="s">
        <v>11</v>
      </c>
      <c r="E23" s="39">
        <v>28980</v>
      </c>
      <c r="F23" s="39">
        <v>48219</v>
      </c>
      <c r="G23" s="39">
        <v>7716</v>
      </c>
      <c r="H23" s="39">
        <v>46315</v>
      </c>
      <c r="I23" s="39">
        <v>19019</v>
      </c>
      <c r="J23" s="39">
        <v>65334</v>
      </c>
    </row>
    <row r="24" spans="1:10" x14ac:dyDescent="0.2">
      <c r="A24" s="40"/>
      <c r="B24" s="40">
        <v>2006</v>
      </c>
      <c r="C24" s="39">
        <v>42191</v>
      </c>
      <c r="D24" s="38" t="s">
        <v>11</v>
      </c>
      <c r="E24" s="39">
        <v>31343</v>
      </c>
      <c r="F24" s="39">
        <v>53040</v>
      </c>
      <c r="G24" s="39">
        <v>8334</v>
      </c>
      <c r="H24" s="39">
        <v>50525</v>
      </c>
      <c r="I24" s="39">
        <v>11334</v>
      </c>
      <c r="J24" s="39">
        <v>61859</v>
      </c>
    </row>
    <row r="25" spans="1:10" x14ac:dyDescent="0.2">
      <c r="A25" s="40"/>
      <c r="B25" s="40">
        <v>2007</v>
      </c>
      <c r="C25" s="39">
        <v>14749</v>
      </c>
      <c r="D25" s="38" t="s">
        <v>11</v>
      </c>
      <c r="E25" s="39">
        <v>8326</v>
      </c>
      <c r="F25" s="39">
        <v>21172</v>
      </c>
      <c r="G25" s="39">
        <v>2542</v>
      </c>
      <c r="H25" s="39">
        <v>17291</v>
      </c>
      <c r="I25" s="39">
        <v>1359</v>
      </c>
      <c r="J25" s="39">
        <v>18650</v>
      </c>
    </row>
    <row r="26" spans="1:10" x14ac:dyDescent="0.2">
      <c r="A26" s="40"/>
      <c r="B26" s="40">
        <v>2008</v>
      </c>
      <c r="C26" s="39">
        <v>26645</v>
      </c>
      <c r="D26" s="38" t="s">
        <v>11</v>
      </c>
      <c r="E26" s="39">
        <v>20744</v>
      </c>
      <c r="F26" s="39">
        <v>32545</v>
      </c>
      <c r="G26" s="39">
        <v>2418</v>
      </c>
      <c r="H26" s="39">
        <v>29063</v>
      </c>
      <c r="I26" s="39">
        <v>1123</v>
      </c>
      <c r="J26" s="39">
        <v>30186</v>
      </c>
    </row>
    <row r="27" spans="1:10" x14ac:dyDescent="0.2">
      <c r="A27" s="40"/>
      <c r="B27" s="40">
        <v>2009</v>
      </c>
      <c r="C27" s="39">
        <v>22761</v>
      </c>
      <c r="D27" s="38" t="s">
        <v>11</v>
      </c>
      <c r="E27" s="39">
        <v>17134</v>
      </c>
      <c r="F27" s="39">
        <v>28388</v>
      </c>
      <c r="G27" s="39">
        <v>7036</v>
      </c>
      <c r="H27" s="39">
        <v>29797</v>
      </c>
      <c r="I27" s="39">
        <v>5309</v>
      </c>
      <c r="J27" s="39">
        <v>35106</v>
      </c>
    </row>
    <row r="28" spans="1:10" x14ac:dyDescent="0.2">
      <c r="A28" s="40"/>
      <c r="B28" s="40">
        <v>2010</v>
      </c>
      <c r="C28" s="39">
        <v>28769</v>
      </c>
      <c r="D28" s="38" t="s">
        <v>11</v>
      </c>
      <c r="E28" s="39">
        <v>23840</v>
      </c>
      <c r="F28" s="39">
        <v>33698</v>
      </c>
      <c r="G28" s="39">
        <v>5469</v>
      </c>
      <c r="H28" s="39">
        <v>34238</v>
      </c>
      <c r="I28" s="39">
        <v>1546</v>
      </c>
      <c r="J28" s="39">
        <v>35784</v>
      </c>
    </row>
    <row r="29" spans="1:10" x14ac:dyDescent="0.2">
      <c r="A29" s="40"/>
      <c r="B29" s="40">
        <v>2011</v>
      </c>
      <c r="C29" s="39">
        <v>19677</v>
      </c>
      <c r="D29" s="38" t="s">
        <v>121</v>
      </c>
      <c r="E29" s="39">
        <v>4942</v>
      </c>
      <c r="F29" s="39">
        <v>34412</v>
      </c>
      <c r="G29" s="39">
        <v>3277</v>
      </c>
      <c r="H29" s="39">
        <v>22954</v>
      </c>
      <c r="I29" s="39">
        <v>1139</v>
      </c>
      <c r="J29" s="39">
        <v>24093</v>
      </c>
    </row>
    <row r="30" spans="1:10" x14ac:dyDescent="0.2">
      <c r="A30" s="40"/>
      <c r="B30" s="40">
        <v>2012</v>
      </c>
      <c r="C30" s="39">
        <v>16717</v>
      </c>
      <c r="D30" s="38" t="s">
        <v>121</v>
      </c>
      <c r="E30" s="39">
        <v>4198</v>
      </c>
      <c r="F30" s="39">
        <v>29236</v>
      </c>
      <c r="G30" s="39">
        <v>2965</v>
      </c>
      <c r="H30" s="39">
        <v>19682</v>
      </c>
      <c r="I30" s="39">
        <v>1405</v>
      </c>
      <c r="J30" s="39">
        <v>21087</v>
      </c>
    </row>
    <row r="31" spans="1:10" x14ac:dyDescent="0.2">
      <c r="A31" s="40"/>
      <c r="B31" s="40">
        <v>2013</v>
      </c>
      <c r="C31" s="39">
        <v>18007</v>
      </c>
      <c r="D31" s="38" t="s">
        <v>121</v>
      </c>
      <c r="E31" s="39">
        <v>4522</v>
      </c>
      <c r="F31" s="39">
        <v>31492</v>
      </c>
      <c r="G31" s="38">
        <v>738</v>
      </c>
      <c r="H31" s="39">
        <v>18745</v>
      </c>
      <c r="I31" s="38">
        <v>648</v>
      </c>
      <c r="J31" s="39">
        <v>19393</v>
      </c>
    </row>
    <row r="32" spans="1:10" x14ac:dyDescent="0.2">
      <c r="A32" s="40"/>
      <c r="B32" s="40">
        <v>2014</v>
      </c>
      <c r="C32" s="39">
        <v>23532</v>
      </c>
      <c r="D32" s="38" t="s">
        <v>11</v>
      </c>
      <c r="E32" s="39">
        <v>19187</v>
      </c>
      <c r="F32" s="39">
        <v>27877</v>
      </c>
      <c r="G32" s="39">
        <v>2472</v>
      </c>
      <c r="H32" s="39">
        <v>26004</v>
      </c>
      <c r="I32" s="39">
        <v>1320</v>
      </c>
      <c r="J32" s="39">
        <v>27324</v>
      </c>
    </row>
    <row r="33" spans="1:10" x14ac:dyDescent="0.2">
      <c r="A33" s="40"/>
      <c r="B33" s="40">
        <v>2015</v>
      </c>
      <c r="C33" s="39">
        <v>23567</v>
      </c>
      <c r="D33" s="38" t="s">
        <v>11</v>
      </c>
      <c r="E33" s="39">
        <v>17580</v>
      </c>
      <c r="F33" s="39">
        <v>29555</v>
      </c>
      <c r="G33" s="39">
        <v>2447</v>
      </c>
      <c r="H33" s="39">
        <v>26014</v>
      </c>
      <c r="I33" s="38">
        <v>784</v>
      </c>
      <c r="J33" s="39">
        <v>26798</v>
      </c>
    </row>
    <row r="34" spans="1:10" x14ac:dyDescent="0.2">
      <c r="A34" s="40"/>
      <c r="B34" s="40">
        <v>2016</v>
      </c>
      <c r="C34" s="39">
        <v>9177</v>
      </c>
      <c r="D34" s="38" t="s">
        <v>11</v>
      </c>
      <c r="E34" s="39">
        <v>7095</v>
      </c>
      <c r="F34" s="39">
        <v>11260</v>
      </c>
      <c r="G34" s="39">
        <v>1630</v>
      </c>
      <c r="H34" s="39">
        <v>10807</v>
      </c>
      <c r="I34" s="38">
        <v>824</v>
      </c>
      <c r="J34" s="39">
        <v>11631</v>
      </c>
    </row>
    <row r="35" spans="1:10" x14ac:dyDescent="0.2">
      <c r="A35" s="40"/>
      <c r="B35" s="40">
        <v>2017</v>
      </c>
      <c r="C35" s="39">
        <v>8214</v>
      </c>
      <c r="D35" s="38" t="s">
        <v>11</v>
      </c>
      <c r="E35" s="39">
        <v>6679</v>
      </c>
      <c r="F35" s="39">
        <v>9749</v>
      </c>
      <c r="G35" s="38">
        <v>250</v>
      </c>
      <c r="H35" s="39">
        <v>8464</v>
      </c>
      <c r="I35" s="38">
        <v>179</v>
      </c>
      <c r="J35" s="39">
        <v>8643</v>
      </c>
    </row>
    <row r="36" spans="1:10" x14ac:dyDescent="0.2">
      <c r="A36" s="40"/>
      <c r="B36" s="40">
        <v>2018</v>
      </c>
      <c r="C36" s="39">
        <v>7271</v>
      </c>
      <c r="D36" s="38" t="s">
        <v>11</v>
      </c>
      <c r="E36" s="39">
        <v>5745</v>
      </c>
      <c r="F36" s="39">
        <v>8798</v>
      </c>
      <c r="G36" s="38">
        <v>7</v>
      </c>
      <c r="H36" s="39">
        <v>7278</v>
      </c>
      <c r="I36" s="38">
        <v>50</v>
      </c>
      <c r="J36" s="39">
        <v>7328</v>
      </c>
    </row>
    <row r="37" spans="1:10" x14ac:dyDescent="0.2">
      <c r="A37" s="40"/>
      <c r="B37" s="40">
        <v>2019</v>
      </c>
      <c r="C37" s="39">
        <v>11558</v>
      </c>
      <c r="D37" s="38" t="s">
        <v>11</v>
      </c>
      <c r="E37" s="39">
        <v>8802</v>
      </c>
      <c r="F37" s="39">
        <v>14314</v>
      </c>
      <c r="G37" s="38">
        <v>10</v>
      </c>
      <c r="H37" s="39">
        <v>11568</v>
      </c>
      <c r="I37" s="38">
        <v>229</v>
      </c>
      <c r="J37" s="39">
        <v>11797</v>
      </c>
    </row>
    <row r="38" spans="1:10" x14ac:dyDescent="0.2">
      <c r="A38" s="40"/>
      <c r="B38" s="40">
        <v>2020</v>
      </c>
      <c r="C38" s="39">
        <v>15593</v>
      </c>
      <c r="D38" s="38" t="s">
        <v>11</v>
      </c>
      <c r="E38" s="39">
        <v>9617</v>
      </c>
      <c r="F38" s="39">
        <v>21569</v>
      </c>
      <c r="G38" s="38">
        <v>94</v>
      </c>
      <c r="H38" s="39">
        <v>15687</v>
      </c>
      <c r="I38" s="38">
        <v>323</v>
      </c>
      <c r="J38" s="39">
        <v>16010</v>
      </c>
    </row>
    <row r="39" spans="1:10" x14ac:dyDescent="0.2">
      <c r="A39" s="40"/>
      <c r="B39" s="40">
        <v>2021</v>
      </c>
      <c r="C39" s="39">
        <v>11344</v>
      </c>
      <c r="D39" s="38" t="s">
        <v>121</v>
      </c>
      <c r="E39" s="39">
        <v>2849</v>
      </c>
      <c r="F39" s="39">
        <v>19840</v>
      </c>
      <c r="G39" s="38">
        <v>40</v>
      </c>
      <c r="H39" s="39">
        <v>11384</v>
      </c>
      <c r="I39" s="38">
        <v>333</v>
      </c>
      <c r="J39" s="39">
        <v>11717</v>
      </c>
    </row>
    <row r="40" spans="1:10" x14ac:dyDescent="0.2">
      <c r="A40" s="40"/>
      <c r="B40" s="40">
        <v>2022</v>
      </c>
      <c r="C40" s="39">
        <v>12722</v>
      </c>
      <c r="D40" s="38" t="s">
        <v>11</v>
      </c>
      <c r="E40" s="39">
        <v>6726</v>
      </c>
      <c r="F40" s="39">
        <v>18718</v>
      </c>
      <c r="G40" s="38">
        <v>33</v>
      </c>
      <c r="H40" s="39">
        <v>12755</v>
      </c>
      <c r="I40" s="38">
        <v>207</v>
      </c>
      <c r="J40" s="39">
        <v>12962</v>
      </c>
    </row>
    <row r="41" spans="1:10" x14ac:dyDescent="0.2">
      <c r="A41" s="40"/>
      <c r="B41" s="40">
        <v>2023</v>
      </c>
      <c r="C41" s="39">
        <v>14755</v>
      </c>
      <c r="D41" s="38" t="s">
        <v>11</v>
      </c>
      <c r="E41" s="39">
        <v>10975</v>
      </c>
      <c r="F41" s="39">
        <v>18535</v>
      </c>
      <c r="G41" s="38">
        <v>25</v>
      </c>
      <c r="H41" s="39">
        <v>14780</v>
      </c>
      <c r="I41" s="38">
        <v>267</v>
      </c>
      <c r="J41" s="39">
        <v>15047</v>
      </c>
    </row>
    <row r="42" spans="1:10" x14ac:dyDescent="0.2">
      <c r="A42" s="40"/>
      <c r="B42" s="102">
        <v>2024</v>
      </c>
      <c r="C42" s="103">
        <v>24518</v>
      </c>
      <c r="D42" s="41" t="s">
        <v>11</v>
      </c>
      <c r="E42" s="103">
        <v>16338</v>
      </c>
      <c r="F42" s="103">
        <v>32698</v>
      </c>
      <c r="G42" s="41">
        <v>22</v>
      </c>
      <c r="H42" s="103">
        <v>24540</v>
      </c>
      <c r="I42" s="41">
        <v>374</v>
      </c>
      <c r="J42" s="103">
        <v>24914</v>
      </c>
    </row>
    <row r="43" spans="1:10" x14ac:dyDescent="0.2">
      <c r="A43" s="40"/>
      <c r="B43" s="40" t="s">
        <v>24</v>
      </c>
      <c r="C43" s="38"/>
      <c r="D43" s="38"/>
      <c r="E43" s="38"/>
      <c r="F43" s="38"/>
      <c r="G43" s="38"/>
      <c r="H43" s="38"/>
      <c r="I43" s="38"/>
      <c r="J43" s="38"/>
    </row>
    <row r="44" spans="1:10" x14ac:dyDescent="0.2">
      <c r="A44" s="40"/>
      <c r="B44" s="40" t="s">
        <v>301</v>
      </c>
      <c r="C44" s="39">
        <v>30672</v>
      </c>
      <c r="D44" s="38"/>
      <c r="E44" s="38"/>
      <c r="F44" s="38"/>
      <c r="G44" s="39">
        <v>2592</v>
      </c>
      <c r="H44" s="39">
        <v>33264</v>
      </c>
      <c r="I44" s="39">
        <v>3172</v>
      </c>
      <c r="J44" s="39">
        <v>36436</v>
      </c>
    </row>
    <row r="45" spans="1:10" x14ac:dyDescent="0.2">
      <c r="A45" s="40"/>
      <c r="B45" s="102" t="s">
        <v>302</v>
      </c>
      <c r="C45" s="103">
        <v>13773</v>
      </c>
      <c r="D45" s="41"/>
      <c r="E45" s="41"/>
      <c r="F45" s="41"/>
      <c r="G45" s="41">
        <v>701</v>
      </c>
      <c r="H45" s="103">
        <v>14474</v>
      </c>
      <c r="I45" s="41">
        <v>452</v>
      </c>
      <c r="J45" s="103">
        <v>14926</v>
      </c>
    </row>
    <row r="46" spans="1:10" x14ac:dyDescent="0.2">
      <c r="A46" s="206"/>
      <c r="B46" s="206"/>
      <c r="C46" s="38"/>
      <c r="D46" s="38"/>
      <c r="E46" s="38"/>
      <c r="F46" s="38"/>
      <c r="G46" s="38"/>
      <c r="H46" s="38"/>
      <c r="I46" s="38"/>
      <c r="J46" s="38"/>
    </row>
  </sheetData>
  <mergeCells count="6">
    <mergeCell ref="A46:B46"/>
    <mergeCell ref="A4:B4"/>
    <mergeCell ref="C4:J4"/>
    <mergeCell ref="A5:B5"/>
    <mergeCell ref="C5:D5"/>
    <mergeCell ref="E5:F5"/>
  </mergeCell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topLeftCell="A21" workbookViewId="0">
      <selection activeCell="K8" sqref="K8"/>
    </sheetView>
  </sheetViews>
  <sheetFormatPr baseColWidth="10" defaultColWidth="8.83203125" defaultRowHeight="15" x14ac:dyDescent="0.2"/>
  <sheetData>
    <row r="1" spans="1:10" x14ac:dyDescent="0.2">
      <c r="A1" s="104" t="s">
        <v>313</v>
      </c>
      <c r="B1" s="104"/>
      <c r="C1" s="41"/>
      <c r="D1" s="41"/>
      <c r="E1" s="41"/>
      <c r="F1" s="41"/>
      <c r="G1" s="41"/>
      <c r="H1" s="41"/>
      <c r="I1" s="41"/>
      <c r="J1" s="38"/>
    </row>
    <row r="2" spans="1:10" x14ac:dyDescent="0.2">
      <c r="A2" s="208"/>
      <c r="B2" s="208"/>
      <c r="C2" s="38"/>
      <c r="D2" s="38"/>
      <c r="E2" s="38"/>
      <c r="F2" s="38"/>
      <c r="G2" s="38"/>
      <c r="H2" s="38"/>
      <c r="I2" s="38" t="s">
        <v>123</v>
      </c>
      <c r="J2" s="38"/>
    </row>
    <row r="3" spans="1:10" ht="16" x14ac:dyDescent="0.2">
      <c r="A3" s="206"/>
      <c r="B3" s="206"/>
      <c r="C3" s="38"/>
      <c r="D3" s="38"/>
      <c r="E3" s="38"/>
      <c r="F3" s="209" t="s">
        <v>132</v>
      </c>
      <c r="G3" s="209"/>
      <c r="H3" s="38"/>
      <c r="I3" s="38" t="s">
        <v>124</v>
      </c>
      <c r="J3" s="38"/>
    </row>
    <row r="4" spans="1:10" x14ac:dyDescent="0.2">
      <c r="A4" s="102" t="s">
        <v>10</v>
      </c>
      <c r="B4" s="41" t="s">
        <v>125</v>
      </c>
      <c r="C4" s="41" t="s">
        <v>314</v>
      </c>
      <c r="D4" s="41" t="s">
        <v>126</v>
      </c>
      <c r="E4" s="41" t="s">
        <v>127</v>
      </c>
      <c r="F4" s="41" t="s">
        <v>128</v>
      </c>
      <c r="G4" s="41" t="s">
        <v>129</v>
      </c>
      <c r="H4" s="41" t="s">
        <v>130</v>
      </c>
      <c r="I4" s="41" t="s">
        <v>127</v>
      </c>
      <c r="J4" s="38"/>
    </row>
    <row r="5" spans="1:10" x14ac:dyDescent="0.2">
      <c r="A5" s="208">
        <v>1975</v>
      </c>
      <c r="B5" s="208"/>
      <c r="C5" s="38"/>
      <c r="D5" s="38">
        <v>15</v>
      </c>
      <c r="E5" s="38"/>
      <c r="F5" s="38"/>
      <c r="G5" s="39">
        <v>1800</v>
      </c>
      <c r="H5" s="38">
        <v>274</v>
      </c>
      <c r="I5" s="39">
        <v>2089</v>
      </c>
      <c r="J5" s="38"/>
    </row>
    <row r="6" spans="1:10" x14ac:dyDescent="0.2">
      <c r="A6" s="40">
        <v>1976</v>
      </c>
      <c r="B6" s="38">
        <v>341</v>
      </c>
      <c r="C6" s="38">
        <v>620</v>
      </c>
      <c r="D6" s="38">
        <v>40</v>
      </c>
      <c r="E6" s="38"/>
      <c r="F6" s="38"/>
      <c r="G6" s="39">
        <v>3000</v>
      </c>
      <c r="H6" s="38">
        <v>725</v>
      </c>
      <c r="I6" s="39">
        <v>4726</v>
      </c>
      <c r="J6" s="38"/>
    </row>
    <row r="7" spans="1:10" x14ac:dyDescent="0.2">
      <c r="A7" s="40">
        <v>1977</v>
      </c>
      <c r="B7" s="38">
        <v>580</v>
      </c>
      <c r="C7" s="38">
        <v>573</v>
      </c>
      <c r="D7" s="38">
        <v>18</v>
      </c>
      <c r="E7" s="38"/>
      <c r="F7" s="38"/>
      <c r="G7" s="39">
        <v>3850</v>
      </c>
      <c r="H7" s="38">
        <v>650</v>
      </c>
      <c r="I7" s="39">
        <v>5671</v>
      </c>
      <c r="J7" s="38"/>
    </row>
    <row r="8" spans="1:10" x14ac:dyDescent="0.2">
      <c r="A8" s="40">
        <v>1978</v>
      </c>
      <c r="B8" s="38">
        <v>490</v>
      </c>
      <c r="C8" s="38">
        <v>550</v>
      </c>
      <c r="D8" s="38"/>
      <c r="E8" s="38">
        <v>21</v>
      </c>
      <c r="F8" s="38"/>
      <c r="G8" s="39">
        <v>1620</v>
      </c>
      <c r="H8" s="38">
        <v>624</v>
      </c>
      <c r="I8" s="39">
        <v>3284</v>
      </c>
      <c r="J8" s="38"/>
    </row>
    <row r="9" spans="1:10" x14ac:dyDescent="0.2">
      <c r="A9" s="40">
        <v>1979</v>
      </c>
      <c r="B9" s="38">
        <v>430</v>
      </c>
      <c r="C9" s="38">
        <v>750</v>
      </c>
      <c r="D9" s="38">
        <v>9</v>
      </c>
      <c r="E9" s="38"/>
      <c r="F9" s="38"/>
      <c r="G9" s="39">
        <v>2110</v>
      </c>
      <c r="H9" s="38">
        <v>857</v>
      </c>
      <c r="I9" s="39">
        <v>4156</v>
      </c>
      <c r="J9" s="38"/>
    </row>
    <row r="10" spans="1:10" x14ac:dyDescent="0.2">
      <c r="A10" s="40">
        <v>1980</v>
      </c>
      <c r="B10" s="38">
        <v>450</v>
      </c>
      <c r="C10" s="38">
        <v>905</v>
      </c>
      <c r="D10" s="38">
        <v>158</v>
      </c>
      <c r="E10" s="38"/>
      <c r="F10" s="38"/>
      <c r="G10" s="39">
        <v>4500</v>
      </c>
      <c r="H10" s="39">
        <v>1531</v>
      </c>
      <c r="I10" s="39">
        <v>7544</v>
      </c>
      <c r="J10" s="38"/>
    </row>
    <row r="11" spans="1:10" x14ac:dyDescent="0.2">
      <c r="A11" s="40">
        <v>1981</v>
      </c>
      <c r="B11" s="38">
        <v>560</v>
      </c>
      <c r="C11" s="38">
        <v>839</v>
      </c>
      <c r="D11" s="38">
        <v>74</v>
      </c>
      <c r="E11" s="38">
        <v>258</v>
      </c>
      <c r="F11" s="38"/>
      <c r="G11" s="39">
        <v>5110</v>
      </c>
      <c r="H11" s="39">
        <v>2945</v>
      </c>
      <c r="I11" s="39">
        <v>9528</v>
      </c>
      <c r="J11" s="38"/>
    </row>
    <row r="12" spans="1:10" x14ac:dyDescent="0.2">
      <c r="A12" s="40">
        <v>1982</v>
      </c>
      <c r="B12" s="38">
        <v>289</v>
      </c>
      <c r="C12" s="38">
        <v>387</v>
      </c>
      <c r="D12" s="38">
        <v>130</v>
      </c>
      <c r="E12" s="38">
        <v>228</v>
      </c>
      <c r="F12" s="38"/>
      <c r="G12" s="39">
        <v>2533</v>
      </c>
      <c r="H12" s="39">
        <v>1246</v>
      </c>
      <c r="I12" s="39">
        <v>4585</v>
      </c>
      <c r="J12" s="38"/>
    </row>
    <row r="13" spans="1:10" x14ac:dyDescent="0.2">
      <c r="A13" s="40">
        <v>1983</v>
      </c>
      <c r="B13" s="38">
        <v>171</v>
      </c>
      <c r="C13" s="38">
        <v>236</v>
      </c>
      <c r="D13" s="38">
        <v>117</v>
      </c>
      <c r="E13" s="38">
        <v>179</v>
      </c>
      <c r="F13" s="38"/>
      <c r="G13" s="38">
        <v>968</v>
      </c>
      <c r="H13" s="38">
        <v>391</v>
      </c>
      <c r="I13" s="39">
        <v>1883</v>
      </c>
      <c r="J13" s="38"/>
    </row>
    <row r="14" spans="1:10" x14ac:dyDescent="0.2">
      <c r="A14" s="40">
        <v>1984</v>
      </c>
      <c r="B14" s="38">
        <v>279</v>
      </c>
      <c r="C14" s="38">
        <v>616</v>
      </c>
      <c r="D14" s="38"/>
      <c r="E14" s="18">
        <v>176</v>
      </c>
      <c r="F14" s="38"/>
      <c r="G14" s="39">
        <v>1887</v>
      </c>
      <c r="H14" s="18">
        <v>951</v>
      </c>
      <c r="I14" s="39">
        <v>3733</v>
      </c>
      <c r="J14" s="38"/>
    </row>
    <row r="15" spans="1:10" x14ac:dyDescent="0.2">
      <c r="A15" s="40">
        <v>1985</v>
      </c>
      <c r="B15" s="38">
        <v>699</v>
      </c>
      <c r="C15" s="38">
        <v>848</v>
      </c>
      <c r="D15" s="38">
        <v>475</v>
      </c>
      <c r="E15" s="38">
        <v>303</v>
      </c>
      <c r="F15" s="38"/>
      <c r="G15" s="39">
        <v>2647</v>
      </c>
      <c r="H15" s="39">
        <v>2236</v>
      </c>
      <c r="I15" s="39">
        <v>6905</v>
      </c>
      <c r="J15" s="38"/>
    </row>
    <row r="16" spans="1:10" x14ac:dyDescent="0.2">
      <c r="A16" s="40">
        <v>1986</v>
      </c>
      <c r="B16" s="38">
        <v>548</v>
      </c>
      <c r="C16" s="38">
        <v>886</v>
      </c>
      <c r="D16" s="38">
        <v>413</v>
      </c>
      <c r="E16" s="38">
        <v>193</v>
      </c>
      <c r="F16" s="38"/>
      <c r="G16" s="39">
        <v>3868</v>
      </c>
      <c r="H16" s="39">
        <v>1612</v>
      </c>
      <c r="I16" s="39">
        <v>7327</v>
      </c>
      <c r="J16" s="38"/>
    </row>
    <row r="17" spans="1:10" x14ac:dyDescent="0.2">
      <c r="A17" s="40">
        <v>1987</v>
      </c>
      <c r="B17" s="38">
        <v>570</v>
      </c>
      <c r="C17" s="38">
        <v>678</v>
      </c>
      <c r="D17" s="38">
        <v>287</v>
      </c>
      <c r="E17" s="38">
        <v>180</v>
      </c>
      <c r="F17" s="38"/>
      <c r="G17" s="39">
        <v>2906</v>
      </c>
      <c r="H17" s="39">
        <v>1122</v>
      </c>
      <c r="I17" s="39">
        <v>5563</v>
      </c>
      <c r="J17" s="38"/>
    </row>
    <row r="18" spans="1:10" x14ac:dyDescent="0.2">
      <c r="A18" s="40">
        <v>1988</v>
      </c>
      <c r="B18" s="39">
        <v>1010</v>
      </c>
      <c r="C18" s="39">
        <v>1272</v>
      </c>
      <c r="D18" s="38">
        <v>243</v>
      </c>
      <c r="E18" s="38">
        <v>66</v>
      </c>
      <c r="F18" s="38"/>
      <c r="G18" s="39">
        <v>4500</v>
      </c>
      <c r="H18" s="39">
        <v>1535</v>
      </c>
      <c r="I18" s="39">
        <v>8560</v>
      </c>
      <c r="J18" s="38"/>
    </row>
    <row r="19" spans="1:10" x14ac:dyDescent="0.2">
      <c r="A19" s="40">
        <v>1989</v>
      </c>
      <c r="B19" s="38">
        <v>601</v>
      </c>
      <c r="C19" s="39">
        <v>1228</v>
      </c>
      <c r="D19" s="38">
        <v>204</v>
      </c>
      <c r="E19" s="38">
        <v>494</v>
      </c>
      <c r="F19" s="38"/>
      <c r="G19" s="39">
        <v>5141</v>
      </c>
      <c r="H19" s="39">
        <v>1812</v>
      </c>
      <c r="I19" s="39">
        <v>8986</v>
      </c>
      <c r="J19" s="38"/>
    </row>
    <row r="20" spans="1:10" x14ac:dyDescent="0.2">
      <c r="A20" s="40">
        <v>1990</v>
      </c>
      <c r="B20" s="38">
        <v>614</v>
      </c>
      <c r="C20" s="39">
        <v>1068</v>
      </c>
      <c r="D20" s="38">
        <v>820</v>
      </c>
      <c r="E20" s="38">
        <v>172</v>
      </c>
      <c r="F20" s="38"/>
      <c r="G20" s="39">
        <v>7917</v>
      </c>
      <c r="H20" s="39">
        <v>1658</v>
      </c>
      <c r="I20" s="39">
        <v>12077</v>
      </c>
      <c r="J20" s="38"/>
    </row>
    <row r="21" spans="1:10" x14ac:dyDescent="0.2">
      <c r="A21" s="40">
        <v>1991</v>
      </c>
      <c r="B21" s="38">
        <v>570</v>
      </c>
      <c r="C21" s="39">
        <v>1164</v>
      </c>
      <c r="D21" s="38">
        <v>804</v>
      </c>
      <c r="E21" s="38">
        <v>224</v>
      </c>
      <c r="F21" s="38"/>
      <c r="G21" s="39">
        <v>5610</v>
      </c>
      <c r="H21" s="39">
        <v>1781</v>
      </c>
      <c r="I21" s="39">
        <v>9929</v>
      </c>
      <c r="J21" s="38"/>
    </row>
    <row r="22" spans="1:10" x14ac:dyDescent="0.2">
      <c r="A22" s="40">
        <v>1992</v>
      </c>
      <c r="B22" s="38">
        <v>782</v>
      </c>
      <c r="C22" s="39">
        <v>1624</v>
      </c>
      <c r="D22" s="38">
        <v>768</v>
      </c>
      <c r="E22" s="38">
        <v>313</v>
      </c>
      <c r="F22" s="38"/>
      <c r="G22" s="39">
        <v>5750</v>
      </c>
      <c r="H22" s="39">
        <v>1821</v>
      </c>
      <c r="I22" s="39">
        <v>10745</v>
      </c>
      <c r="J22" s="38"/>
    </row>
    <row r="23" spans="1:10" x14ac:dyDescent="0.2">
      <c r="A23" s="40">
        <v>1993</v>
      </c>
      <c r="B23" s="39">
        <v>1584</v>
      </c>
      <c r="C23" s="39">
        <v>1491</v>
      </c>
      <c r="D23" s="39">
        <v>1020</v>
      </c>
      <c r="E23" s="38">
        <v>491</v>
      </c>
      <c r="F23" s="38"/>
      <c r="G23" s="39">
        <v>6490</v>
      </c>
      <c r="H23" s="39">
        <v>2128</v>
      </c>
      <c r="I23" s="39">
        <v>12713</v>
      </c>
      <c r="J23" s="38"/>
    </row>
    <row r="24" spans="1:10" x14ac:dyDescent="0.2">
      <c r="A24" s="40">
        <v>1994</v>
      </c>
      <c r="B24" s="38">
        <v>410</v>
      </c>
      <c r="C24" s="39">
        <v>1106</v>
      </c>
      <c r="D24" s="38">
        <v>573</v>
      </c>
      <c r="E24" s="38">
        <v>614</v>
      </c>
      <c r="F24" s="38"/>
      <c r="G24" s="39">
        <v>4792</v>
      </c>
      <c r="H24" s="39">
        <v>2418</v>
      </c>
      <c r="I24" s="39">
        <v>9299</v>
      </c>
      <c r="J24" s="38"/>
    </row>
    <row r="25" spans="1:10" x14ac:dyDescent="0.2">
      <c r="A25" s="40">
        <v>1995</v>
      </c>
      <c r="B25" s="38">
        <v>550</v>
      </c>
      <c r="C25" s="38">
        <v>678</v>
      </c>
      <c r="D25" s="38">
        <v>731</v>
      </c>
      <c r="E25" s="38">
        <v>786</v>
      </c>
      <c r="F25" s="38"/>
      <c r="G25" s="39">
        <v>3943</v>
      </c>
      <c r="H25" s="39">
        <v>2069</v>
      </c>
      <c r="I25" s="39">
        <v>7971</v>
      </c>
      <c r="J25" s="38"/>
    </row>
    <row r="26" spans="1:10" x14ac:dyDescent="0.2">
      <c r="A26" s="40">
        <v>1996</v>
      </c>
      <c r="B26" s="39">
        <v>1620</v>
      </c>
      <c r="C26" s="39">
        <v>2011</v>
      </c>
      <c r="D26" s="39">
        <v>1810</v>
      </c>
      <c r="E26" s="39">
        <v>1201</v>
      </c>
      <c r="F26" s="38"/>
      <c r="G26" s="39">
        <v>7720</v>
      </c>
      <c r="H26" s="39">
        <v>5415</v>
      </c>
      <c r="I26" s="39">
        <v>18576</v>
      </c>
      <c r="J26" s="38"/>
    </row>
    <row r="27" spans="1:10" x14ac:dyDescent="0.2">
      <c r="A27" s="40">
        <v>1997</v>
      </c>
      <c r="B27" s="39">
        <v>1360</v>
      </c>
      <c r="C27" s="39">
        <v>1148</v>
      </c>
      <c r="D27" s="38">
        <v>943</v>
      </c>
      <c r="E27" s="38">
        <v>648</v>
      </c>
      <c r="F27" s="38"/>
      <c r="G27" s="39">
        <v>6095</v>
      </c>
      <c r="H27" s="39">
        <v>3655</v>
      </c>
      <c r="I27" s="39">
        <v>13201</v>
      </c>
      <c r="J27" s="38"/>
    </row>
    <row r="28" spans="1:10" x14ac:dyDescent="0.2">
      <c r="A28" s="40">
        <v>1998</v>
      </c>
      <c r="B28" s="38">
        <v>473</v>
      </c>
      <c r="C28" s="38">
        <v>675</v>
      </c>
      <c r="D28" s="38">
        <v>807</v>
      </c>
      <c r="E28" s="38">
        <v>360</v>
      </c>
      <c r="F28" s="38"/>
      <c r="G28" s="39">
        <v>2720</v>
      </c>
      <c r="H28" s="39">
        <v>1294</v>
      </c>
      <c r="I28" s="39">
        <v>5969</v>
      </c>
      <c r="J28" s="38"/>
    </row>
    <row r="29" spans="1:10" x14ac:dyDescent="0.2">
      <c r="A29" s="40">
        <v>1999</v>
      </c>
      <c r="B29" s="38">
        <v>561</v>
      </c>
      <c r="C29" s="38">
        <v>431</v>
      </c>
      <c r="D29" s="38">
        <v>527</v>
      </c>
      <c r="E29" s="38">
        <v>221</v>
      </c>
      <c r="F29" s="38"/>
      <c r="G29" s="39">
        <v>1900</v>
      </c>
      <c r="H29" s="38">
        <v>532</v>
      </c>
      <c r="I29" s="39">
        <v>3951</v>
      </c>
      <c r="J29" s="38"/>
    </row>
    <row r="30" spans="1:10" x14ac:dyDescent="0.2">
      <c r="A30" s="40">
        <v>2000</v>
      </c>
      <c r="B30" s="38">
        <v>702</v>
      </c>
      <c r="C30" s="38">
        <v>953</v>
      </c>
      <c r="D30" s="38">
        <v>482</v>
      </c>
      <c r="E30" s="38">
        <v>160</v>
      </c>
      <c r="F30" s="38"/>
      <c r="G30" s="39">
        <v>2907</v>
      </c>
      <c r="H30" s="38">
        <v>728</v>
      </c>
      <c r="I30" s="39">
        <v>5772</v>
      </c>
      <c r="J30" s="38"/>
    </row>
    <row r="31" spans="1:10" x14ac:dyDescent="0.2">
      <c r="A31" s="40">
        <v>2001</v>
      </c>
      <c r="B31" s="39">
        <v>1050</v>
      </c>
      <c r="C31" s="39">
        <v>1024</v>
      </c>
      <c r="D31" s="38">
        <v>479</v>
      </c>
      <c r="E31" s="38">
        <v>202</v>
      </c>
      <c r="F31" s="38"/>
      <c r="G31" s="39">
        <v>1552</v>
      </c>
      <c r="H31" s="38">
        <v>935</v>
      </c>
      <c r="I31" s="39">
        <v>5040</v>
      </c>
      <c r="J31" s="38"/>
    </row>
    <row r="32" spans="1:10" x14ac:dyDescent="0.2">
      <c r="A32" s="40">
        <v>2002</v>
      </c>
      <c r="B32" s="38">
        <v>945</v>
      </c>
      <c r="C32" s="39">
        <v>1145</v>
      </c>
      <c r="D32" s="38">
        <v>834</v>
      </c>
      <c r="E32" s="38">
        <v>192</v>
      </c>
      <c r="F32" s="38"/>
      <c r="G32" s="39">
        <v>4066</v>
      </c>
      <c r="H32" s="39">
        <v>1099</v>
      </c>
      <c r="I32" s="39">
        <v>8089</v>
      </c>
      <c r="J32" s="38"/>
    </row>
    <row r="33" spans="1:10" x14ac:dyDescent="0.2">
      <c r="A33" s="40">
        <v>2003</v>
      </c>
      <c r="B33" s="38">
        <v>850</v>
      </c>
      <c r="C33" s="39">
        <v>1000</v>
      </c>
      <c r="D33" s="38">
        <v>644</v>
      </c>
      <c r="E33" s="38">
        <v>436</v>
      </c>
      <c r="F33" s="38"/>
      <c r="G33" s="39">
        <v>2126</v>
      </c>
      <c r="H33" s="38">
        <v>861</v>
      </c>
      <c r="I33" s="39">
        <v>5481</v>
      </c>
      <c r="J33" s="38"/>
    </row>
    <row r="34" spans="1:10" x14ac:dyDescent="0.2">
      <c r="A34" s="40">
        <v>2004</v>
      </c>
      <c r="B34" s="38">
        <v>828</v>
      </c>
      <c r="C34" s="39">
        <v>1396</v>
      </c>
      <c r="D34" s="39">
        <v>1036</v>
      </c>
      <c r="E34" s="38">
        <v>906</v>
      </c>
      <c r="F34" s="38"/>
      <c r="G34" s="39">
        <v>4091</v>
      </c>
      <c r="H34" s="39">
        <v>1787</v>
      </c>
      <c r="I34" s="39">
        <v>9138</v>
      </c>
      <c r="J34" s="38"/>
    </row>
    <row r="35" spans="1:10" x14ac:dyDescent="0.2">
      <c r="A35" s="40">
        <v>2005</v>
      </c>
      <c r="B35" s="38">
        <v>833</v>
      </c>
      <c r="C35" s="39">
        <v>1146</v>
      </c>
      <c r="D35" s="38">
        <v>318</v>
      </c>
      <c r="E35" s="38">
        <v>215</v>
      </c>
      <c r="F35" s="38"/>
      <c r="G35" s="39">
        <v>1213</v>
      </c>
      <c r="H35" s="38">
        <v>471</v>
      </c>
      <c r="I35" s="39">
        <v>3981</v>
      </c>
      <c r="J35" s="38"/>
    </row>
    <row r="36" spans="1:10" x14ac:dyDescent="0.2">
      <c r="A36" s="40">
        <v>2006</v>
      </c>
      <c r="B36" s="39">
        <v>1180</v>
      </c>
      <c r="C36" s="38">
        <v>908</v>
      </c>
      <c r="D36" s="38">
        <v>395</v>
      </c>
      <c r="E36" s="38">
        <v>199</v>
      </c>
      <c r="F36" s="38"/>
      <c r="G36" s="39">
        <v>1900</v>
      </c>
      <c r="H36" s="38">
        <v>955</v>
      </c>
      <c r="I36" s="39">
        <v>5338</v>
      </c>
      <c r="J36" s="38"/>
    </row>
    <row r="37" spans="1:10" x14ac:dyDescent="0.2">
      <c r="A37" s="40">
        <v>2007</v>
      </c>
      <c r="B37" s="38">
        <v>262</v>
      </c>
      <c r="C37" s="38">
        <v>390</v>
      </c>
      <c r="D37" s="38">
        <v>4</v>
      </c>
      <c r="E37" s="38">
        <v>199</v>
      </c>
      <c r="F37" s="38"/>
      <c r="G37" s="38" t="s">
        <v>131</v>
      </c>
      <c r="H37" s="38">
        <v>277</v>
      </c>
      <c r="I37" s="38">
        <v>933</v>
      </c>
      <c r="J37" s="38"/>
    </row>
    <row r="38" spans="1:10" x14ac:dyDescent="0.2">
      <c r="A38" s="40">
        <v>2008</v>
      </c>
      <c r="B38" s="38">
        <v>690</v>
      </c>
      <c r="C38" s="39">
        <v>1083</v>
      </c>
      <c r="D38" s="38">
        <v>480</v>
      </c>
      <c r="E38" s="38">
        <v>497</v>
      </c>
      <c r="F38" s="38"/>
      <c r="G38" s="39">
        <v>1437</v>
      </c>
      <c r="H38" s="39">
        <v>1121</v>
      </c>
      <c r="I38" s="39">
        <v>4811</v>
      </c>
      <c r="J38" s="38"/>
    </row>
    <row r="39" spans="1:10" x14ac:dyDescent="0.2">
      <c r="A39" s="40">
        <v>2009</v>
      </c>
      <c r="B39" s="38">
        <v>408</v>
      </c>
      <c r="C39" s="38">
        <v>633</v>
      </c>
      <c r="D39" s="38">
        <v>272</v>
      </c>
      <c r="E39" s="38">
        <v>145</v>
      </c>
      <c r="F39" s="38"/>
      <c r="G39" s="39">
        <v>1698</v>
      </c>
      <c r="H39" s="39">
        <v>1033</v>
      </c>
      <c r="I39" s="39">
        <v>4044</v>
      </c>
      <c r="J39" s="38"/>
    </row>
    <row r="40" spans="1:10" x14ac:dyDescent="0.2">
      <c r="A40" s="40">
        <v>2010</v>
      </c>
      <c r="B40" s="38">
        <v>716</v>
      </c>
      <c r="C40" s="38">
        <v>821</v>
      </c>
      <c r="D40" s="38">
        <v>561</v>
      </c>
      <c r="E40" s="38">
        <v>128</v>
      </c>
      <c r="F40" s="38"/>
      <c r="G40" s="39">
        <v>1730</v>
      </c>
      <c r="H40" s="39">
        <v>1018</v>
      </c>
      <c r="I40" s="39">
        <v>4846</v>
      </c>
      <c r="J40" s="38"/>
    </row>
    <row r="41" spans="1:10" x14ac:dyDescent="0.2">
      <c r="A41" s="40">
        <v>2011</v>
      </c>
      <c r="B41" s="38">
        <v>377</v>
      </c>
      <c r="C41" s="38">
        <v>917</v>
      </c>
      <c r="D41" s="38">
        <v>301</v>
      </c>
      <c r="E41" s="38">
        <v>128</v>
      </c>
      <c r="F41" s="38"/>
      <c r="G41" s="39">
        <v>1380</v>
      </c>
      <c r="H41" s="38">
        <v>808</v>
      </c>
      <c r="I41" s="39">
        <v>3783</v>
      </c>
      <c r="J41" s="38"/>
    </row>
    <row r="42" spans="1:10" x14ac:dyDescent="0.2">
      <c r="A42" s="40">
        <v>2012</v>
      </c>
      <c r="B42" s="38">
        <v>402</v>
      </c>
      <c r="C42" s="38">
        <v>660</v>
      </c>
      <c r="D42" s="38">
        <v>126</v>
      </c>
      <c r="E42" s="38"/>
      <c r="F42" s="38"/>
      <c r="G42" s="39">
        <v>1300</v>
      </c>
      <c r="H42" s="38">
        <v>726</v>
      </c>
      <c r="I42" s="39">
        <v>3214</v>
      </c>
      <c r="J42" s="38"/>
    </row>
    <row r="43" spans="1:10" x14ac:dyDescent="0.2">
      <c r="A43" s="40">
        <v>2013</v>
      </c>
      <c r="B43" s="38">
        <v>708</v>
      </c>
      <c r="C43" s="38">
        <v>438</v>
      </c>
      <c r="D43" s="38">
        <v>166</v>
      </c>
      <c r="E43" s="38"/>
      <c r="F43" s="38">
        <v>148</v>
      </c>
      <c r="G43" s="39">
        <v>1623</v>
      </c>
      <c r="H43" s="38">
        <v>527</v>
      </c>
      <c r="I43" s="39">
        <v>3462</v>
      </c>
      <c r="J43" s="38"/>
    </row>
    <row r="44" spans="1:10" x14ac:dyDescent="0.2">
      <c r="A44" s="40">
        <v>2014</v>
      </c>
      <c r="B44" s="38">
        <v>384</v>
      </c>
      <c r="C44" s="38">
        <v>376</v>
      </c>
      <c r="D44" s="38">
        <v>193</v>
      </c>
      <c r="E44" s="38"/>
      <c r="F44" s="38">
        <v>100</v>
      </c>
      <c r="G44" s="39">
        <v>1040</v>
      </c>
      <c r="H44" s="38">
        <v>304</v>
      </c>
      <c r="I44" s="39">
        <v>2297</v>
      </c>
      <c r="J44" s="38"/>
    </row>
    <row r="45" spans="1:10" x14ac:dyDescent="0.2">
      <c r="A45" s="40">
        <v>2015</v>
      </c>
      <c r="B45" s="38">
        <v>622</v>
      </c>
      <c r="C45" s="38">
        <v>434</v>
      </c>
      <c r="D45" s="38">
        <v>289</v>
      </c>
      <c r="E45" s="38"/>
      <c r="F45" s="38">
        <v>134</v>
      </c>
      <c r="G45" s="39">
        <v>1340</v>
      </c>
      <c r="H45" s="38">
        <v>612</v>
      </c>
      <c r="I45" s="39">
        <v>3297</v>
      </c>
      <c r="J45" s="38"/>
    </row>
    <row r="46" spans="1:10" x14ac:dyDescent="0.2">
      <c r="A46" s="40">
        <v>2016</v>
      </c>
      <c r="B46" s="38">
        <v>303</v>
      </c>
      <c r="C46" s="38">
        <v>92</v>
      </c>
      <c r="D46" s="38">
        <v>156</v>
      </c>
      <c r="E46" s="38"/>
      <c r="F46" s="38">
        <v>80</v>
      </c>
      <c r="G46" s="38">
        <v>800</v>
      </c>
      <c r="H46" s="38">
        <v>379</v>
      </c>
      <c r="I46" s="39">
        <v>1730</v>
      </c>
      <c r="J46" s="38"/>
    </row>
    <row r="47" spans="1:10" x14ac:dyDescent="0.2">
      <c r="A47" s="40">
        <v>2017</v>
      </c>
      <c r="B47" s="38">
        <v>272</v>
      </c>
      <c r="C47" s="38">
        <v>179</v>
      </c>
      <c r="D47" s="38">
        <v>37</v>
      </c>
      <c r="E47" s="38"/>
      <c r="F47" s="38">
        <v>30</v>
      </c>
      <c r="G47" s="38">
        <v>301</v>
      </c>
      <c r="H47" s="38">
        <v>134</v>
      </c>
      <c r="I47" s="38">
        <v>923</v>
      </c>
      <c r="J47" s="38"/>
    </row>
    <row r="48" spans="1:10" x14ac:dyDescent="0.2">
      <c r="A48" s="40">
        <v>2018</v>
      </c>
      <c r="B48" s="38">
        <v>202</v>
      </c>
      <c r="C48" s="38">
        <v>121</v>
      </c>
      <c r="D48" s="38">
        <v>363</v>
      </c>
      <c r="E48" s="38"/>
      <c r="F48" s="38">
        <v>76</v>
      </c>
      <c r="G48" s="38">
        <v>765</v>
      </c>
      <c r="H48" s="38">
        <v>268</v>
      </c>
      <c r="I48" s="39">
        <v>1719</v>
      </c>
      <c r="J48" s="38"/>
    </row>
    <row r="49" spans="1:10" x14ac:dyDescent="0.2">
      <c r="A49" s="40">
        <v>2019</v>
      </c>
      <c r="B49" s="38">
        <v>361</v>
      </c>
      <c r="C49" s="38">
        <v>330</v>
      </c>
      <c r="D49" s="38">
        <v>949</v>
      </c>
      <c r="E49" s="38"/>
      <c r="F49" s="38">
        <v>107</v>
      </c>
      <c r="G49" s="39">
        <v>1070</v>
      </c>
      <c r="H49" s="38">
        <v>282</v>
      </c>
      <c r="I49" s="39">
        <v>2992</v>
      </c>
      <c r="J49" s="38"/>
    </row>
    <row r="50" spans="1:10" x14ac:dyDescent="0.2">
      <c r="A50" s="40">
        <v>2020</v>
      </c>
      <c r="B50" s="38">
        <v>505</v>
      </c>
      <c r="C50" s="38">
        <v>390</v>
      </c>
      <c r="D50" s="38">
        <v>292</v>
      </c>
      <c r="E50" s="38"/>
      <c r="F50" s="38">
        <v>125</v>
      </c>
      <c r="G50" s="39">
        <v>1249</v>
      </c>
      <c r="H50" s="38">
        <v>213</v>
      </c>
      <c r="I50" s="39">
        <v>2649</v>
      </c>
      <c r="J50" s="38"/>
    </row>
    <row r="51" spans="1:10" x14ac:dyDescent="0.2">
      <c r="A51" s="40">
        <v>2021</v>
      </c>
      <c r="B51" s="38">
        <v>544</v>
      </c>
      <c r="C51" s="38">
        <v>358</v>
      </c>
      <c r="D51" s="38">
        <v>147</v>
      </c>
      <c r="E51" s="38"/>
      <c r="F51" s="38">
        <v>103</v>
      </c>
      <c r="G51" s="39">
        <v>1034</v>
      </c>
      <c r="H51" s="38">
        <v>98</v>
      </c>
      <c r="I51" s="39">
        <v>2181</v>
      </c>
      <c r="J51" s="38"/>
    </row>
    <row r="52" spans="1:10" x14ac:dyDescent="0.2">
      <c r="A52" s="40">
        <v>2022</v>
      </c>
      <c r="B52" s="38">
        <v>425</v>
      </c>
      <c r="C52" s="38">
        <v>527</v>
      </c>
      <c r="D52" s="38">
        <v>192</v>
      </c>
      <c r="E52" s="38"/>
      <c r="F52" s="38">
        <v>114</v>
      </c>
      <c r="G52" s="39">
        <v>1263</v>
      </c>
      <c r="H52" s="38">
        <v>351</v>
      </c>
      <c r="I52" s="39">
        <v>2758</v>
      </c>
      <c r="J52" s="38"/>
    </row>
    <row r="53" spans="1:10" x14ac:dyDescent="0.2">
      <c r="A53" s="40">
        <v>2023</v>
      </c>
      <c r="B53" s="38">
        <v>616</v>
      </c>
      <c r="C53" s="38">
        <v>505</v>
      </c>
      <c r="D53" s="38">
        <v>403</v>
      </c>
      <c r="E53" s="38"/>
      <c r="F53" s="38">
        <v>154</v>
      </c>
      <c r="G53" s="39">
        <v>1542</v>
      </c>
      <c r="H53" s="38">
        <v>462</v>
      </c>
      <c r="I53" s="39">
        <v>3528</v>
      </c>
      <c r="J53" s="38"/>
    </row>
    <row r="54" spans="1:10" x14ac:dyDescent="0.2">
      <c r="A54" s="102">
        <v>2024</v>
      </c>
      <c r="B54" s="41">
        <v>720</v>
      </c>
      <c r="C54" s="41">
        <v>913</v>
      </c>
      <c r="D54" s="41">
        <v>640</v>
      </c>
      <c r="E54" s="41"/>
      <c r="F54" s="41">
        <v>280</v>
      </c>
      <c r="G54" s="103">
        <v>2830</v>
      </c>
      <c r="H54" s="41">
        <v>487</v>
      </c>
      <c r="I54" s="103">
        <v>5590</v>
      </c>
      <c r="J54" s="38"/>
    </row>
    <row r="55" spans="1:10" x14ac:dyDescent="0.2">
      <c r="A55" s="40" t="s">
        <v>315</v>
      </c>
      <c r="B55" s="38">
        <v>670</v>
      </c>
      <c r="C55" s="38">
        <v>824</v>
      </c>
      <c r="D55" s="38">
        <v>501</v>
      </c>
      <c r="E55" s="38"/>
      <c r="F55" s="38"/>
      <c r="G55" s="39">
        <v>2880</v>
      </c>
      <c r="H55" s="39">
        <v>1193</v>
      </c>
      <c r="I55" s="39">
        <v>5994</v>
      </c>
      <c r="J55" s="38"/>
    </row>
    <row r="56" spans="1:10" x14ac:dyDescent="0.2">
      <c r="A56" s="102" t="s">
        <v>302</v>
      </c>
      <c r="B56" s="41">
        <v>423</v>
      </c>
      <c r="C56" s="41">
        <v>331</v>
      </c>
      <c r="D56" s="41">
        <v>302</v>
      </c>
      <c r="E56" s="41"/>
      <c r="F56" s="41"/>
      <c r="G56" s="103">
        <v>1040</v>
      </c>
      <c r="H56" s="41">
        <v>310</v>
      </c>
      <c r="I56" s="103">
        <v>2407</v>
      </c>
      <c r="J56" s="38"/>
    </row>
  </sheetData>
  <mergeCells count="4">
    <mergeCell ref="A2:B2"/>
    <mergeCell ref="A3:B3"/>
    <mergeCell ref="F3:G3"/>
    <mergeCell ref="A5:B5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7"/>
  <sheetViews>
    <sheetView topLeftCell="A6" workbookViewId="0">
      <selection activeCell="Q29" sqref="Q29"/>
    </sheetView>
  </sheetViews>
  <sheetFormatPr baseColWidth="10" defaultColWidth="8.83203125" defaultRowHeight="15" x14ac:dyDescent="0.2"/>
  <sheetData>
    <row r="1" spans="1:26" x14ac:dyDescent="0.2">
      <c r="A1" s="73" t="s">
        <v>251</v>
      </c>
      <c r="B1" s="73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0"/>
      <c r="T1" s="30"/>
      <c r="U1" s="30"/>
      <c r="V1" s="30"/>
      <c r="W1" s="30"/>
      <c r="X1" s="30"/>
      <c r="Y1" s="30"/>
      <c r="Z1" s="30"/>
    </row>
    <row r="2" spans="1:26" x14ac:dyDescent="0.2">
      <c r="A2" s="95" t="s">
        <v>133</v>
      </c>
      <c r="B2" s="95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30"/>
      <c r="W2" s="30"/>
      <c r="X2" s="30"/>
      <c r="Y2" s="30"/>
      <c r="Z2" s="30"/>
    </row>
    <row r="3" spans="1:26" x14ac:dyDescent="0.2">
      <c r="A3" s="73" t="s">
        <v>134</v>
      </c>
      <c r="B3" s="73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30"/>
      <c r="U3" s="30"/>
      <c r="V3" s="30"/>
      <c r="W3" s="30"/>
      <c r="X3" s="30"/>
      <c r="Y3" s="30"/>
      <c r="Z3" s="30"/>
    </row>
    <row r="4" spans="1:26" ht="17" x14ac:dyDescent="0.3">
      <c r="A4" s="21"/>
      <c r="B4" s="210" t="s">
        <v>312</v>
      </c>
      <c r="C4" s="210"/>
      <c r="D4" s="210"/>
      <c r="E4" s="210" t="s">
        <v>27</v>
      </c>
      <c r="F4" s="210"/>
      <c r="G4" s="210"/>
      <c r="H4" s="210" t="s">
        <v>135</v>
      </c>
      <c r="I4" s="210"/>
      <c r="J4" s="210"/>
      <c r="K4" s="210" t="s">
        <v>136</v>
      </c>
      <c r="L4" s="210"/>
      <c r="M4" s="210"/>
      <c r="N4" s="210" t="s">
        <v>137</v>
      </c>
      <c r="O4" s="210"/>
      <c r="P4" s="210"/>
      <c r="Q4" s="210" t="s">
        <v>138</v>
      </c>
      <c r="R4" s="210"/>
      <c r="S4" s="210"/>
      <c r="T4" s="30"/>
      <c r="U4" s="30"/>
      <c r="V4" s="30"/>
      <c r="W4" s="22"/>
      <c r="X4" s="22"/>
      <c r="Y4" s="22"/>
      <c r="Z4" s="22"/>
    </row>
    <row r="5" spans="1:26" x14ac:dyDescent="0.2">
      <c r="A5" s="19" t="s">
        <v>10</v>
      </c>
      <c r="B5" s="19" t="s">
        <v>103</v>
      </c>
      <c r="C5" s="19" t="s">
        <v>101</v>
      </c>
      <c r="D5" s="19" t="s">
        <v>33</v>
      </c>
      <c r="E5" s="19" t="s">
        <v>103</v>
      </c>
      <c r="F5" s="19" t="s">
        <v>101</v>
      </c>
      <c r="G5" s="19" t="s">
        <v>33</v>
      </c>
      <c r="H5" s="19" t="s">
        <v>103</v>
      </c>
      <c r="I5" s="19" t="s">
        <v>101</v>
      </c>
      <c r="J5" s="19" t="s">
        <v>33</v>
      </c>
      <c r="K5" s="19" t="s">
        <v>103</v>
      </c>
      <c r="L5" s="19" t="s">
        <v>101</v>
      </c>
      <c r="M5" s="19" t="s">
        <v>33</v>
      </c>
      <c r="N5" s="19" t="s">
        <v>103</v>
      </c>
      <c r="O5" s="19" t="s">
        <v>101</v>
      </c>
      <c r="P5" s="19" t="s">
        <v>33</v>
      </c>
      <c r="Q5" s="19" t="s">
        <v>103</v>
      </c>
      <c r="R5" s="19" t="s">
        <v>101</v>
      </c>
      <c r="S5" s="19" t="s">
        <v>33</v>
      </c>
      <c r="T5" s="30"/>
      <c r="U5" s="30"/>
      <c r="V5" s="30"/>
      <c r="W5" s="30"/>
      <c r="X5" s="30"/>
      <c r="Y5" s="30"/>
      <c r="Z5" s="30"/>
    </row>
    <row r="6" spans="1:26" x14ac:dyDescent="0.2">
      <c r="A6" s="25">
        <v>1995</v>
      </c>
      <c r="B6" s="75">
        <v>4536</v>
      </c>
      <c r="C6" s="75">
        <v>1244</v>
      </c>
      <c r="D6" s="27">
        <v>5780</v>
      </c>
      <c r="E6" s="75">
        <v>1093</v>
      </c>
      <c r="F6" s="72">
        <v>300</v>
      </c>
      <c r="G6" s="27">
        <v>1393</v>
      </c>
      <c r="H6" s="72"/>
      <c r="I6" s="21"/>
      <c r="J6" s="21"/>
      <c r="K6" s="21"/>
      <c r="L6" s="21"/>
      <c r="M6" s="21"/>
      <c r="N6" s="21"/>
      <c r="O6" s="21"/>
      <c r="P6" s="21"/>
      <c r="Q6" s="75">
        <v>3443</v>
      </c>
      <c r="R6" s="72">
        <v>944</v>
      </c>
      <c r="S6" s="75">
        <v>4387</v>
      </c>
      <c r="T6" s="30"/>
      <c r="U6" s="30">
        <v>0</v>
      </c>
      <c r="V6" s="30">
        <v>0</v>
      </c>
      <c r="W6" s="30">
        <v>0</v>
      </c>
      <c r="X6" s="30"/>
      <c r="Y6" s="30"/>
      <c r="Z6" s="30"/>
    </row>
    <row r="7" spans="1:26" x14ac:dyDescent="0.2">
      <c r="A7" s="25">
        <v>1996</v>
      </c>
      <c r="B7" s="75">
        <v>9936</v>
      </c>
      <c r="C7" s="72">
        <v>445</v>
      </c>
      <c r="D7" s="27">
        <v>10381</v>
      </c>
      <c r="E7" s="75">
        <v>2254</v>
      </c>
      <c r="F7" s="72">
        <v>101</v>
      </c>
      <c r="G7" s="27">
        <v>2355</v>
      </c>
      <c r="H7" s="72"/>
      <c r="I7" s="21"/>
      <c r="J7" s="21"/>
      <c r="K7" s="21"/>
      <c r="L7" s="21"/>
      <c r="M7" s="21"/>
      <c r="N7" s="21"/>
      <c r="O7" s="21"/>
      <c r="P7" s="21"/>
      <c r="Q7" s="75">
        <v>7682</v>
      </c>
      <c r="R7" s="72">
        <v>344</v>
      </c>
      <c r="S7" s="75">
        <v>8026</v>
      </c>
      <c r="T7" s="30"/>
      <c r="U7" s="30">
        <v>0</v>
      </c>
      <c r="V7" s="30">
        <v>0</v>
      </c>
      <c r="W7" s="30">
        <v>0</v>
      </c>
      <c r="X7" s="30"/>
      <c r="Y7" s="30"/>
      <c r="Z7" s="30"/>
    </row>
    <row r="8" spans="1:26" x14ac:dyDescent="0.2">
      <c r="A8" s="25">
        <v>1997</v>
      </c>
      <c r="B8" s="75">
        <v>8131</v>
      </c>
      <c r="C8" s="72">
        <v>232</v>
      </c>
      <c r="D8" s="27">
        <v>8363</v>
      </c>
      <c r="E8" s="75">
        <v>2316</v>
      </c>
      <c r="F8" s="72">
        <v>66</v>
      </c>
      <c r="G8" s="27">
        <v>2382</v>
      </c>
      <c r="H8" s="72"/>
      <c r="I8" s="21"/>
      <c r="J8" s="21"/>
      <c r="K8" s="21"/>
      <c r="L8" s="21"/>
      <c r="M8" s="21"/>
      <c r="N8" s="21"/>
      <c r="O8" s="21"/>
      <c r="P8" s="21"/>
      <c r="Q8" s="75">
        <v>5815</v>
      </c>
      <c r="R8" s="72">
        <v>166</v>
      </c>
      <c r="S8" s="75">
        <v>5981</v>
      </c>
      <c r="T8" s="30"/>
      <c r="U8" s="30">
        <v>0</v>
      </c>
      <c r="V8" s="30">
        <v>0</v>
      </c>
      <c r="W8" s="30">
        <v>0</v>
      </c>
      <c r="X8" s="30"/>
      <c r="Y8" s="30"/>
      <c r="Z8" s="30"/>
    </row>
    <row r="9" spans="1:26" x14ac:dyDescent="0.2">
      <c r="A9" s="25">
        <v>1998</v>
      </c>
      <c r="B9" s="75">
        <v>5861</v>
      </c>
      <c r="C9" s="72">
        <v>136</v>
      </c>
      <c r="D9" s="27">
        <v>5997</v>
      </c>
      <c r="E9" s="75">
        <v>1233</v>
      </c>
      <c r="F9" s="72">
        <v>29</v>
      </c>
      <c r="G9" s="27">
        <v>1262</v>
      </c>
      <c r="H9" s="72">
        <v>389</v>
      </c>
      <c r="I9" s="21">
        <v>9</v>
      </c>
      <c r="J9" s="21">
        <v>398</v>
      </c>
      <c r="K9" s="21"/>
      <c r="L9" s="21"/>
      <c r="M9" s="21"/>
      <c r="N9" s="21"/>
      <c r="O9" s="21"/>
      <c r="P9" s="21"/>
      <c r="Q9" s="75">
        <v>4628</v>
      </c>
      <c r="R9" s="72">
        <v>107</v>
      </c>
      <c r="S9" s="75">
        <v>4735</v>
      </c>
      <c r="T9" s="30"/>
      <c r="U9" s="30">
        <v>0</v>
      </c>
      <c r="V9" s="30">
        <v>0</v>
      </c>
      <c r="W9" s="30">
        <v>0</v>
      </c>
      <c r="X9" s="30"/>
      <c r="Y9" s="30"/>
      <c r="Z9" s="30"/>
    </row>
    <row r="10" spans="1:26" x14ac:dyDescent="0.2">
      <c r="A10" s="25">
        <v>1999</v>
      </c>
      <c r="B10" s="75">
        <v>2067</v>
      </c>
      <c r="C10" s="72">
        <v>37</v>
      </c>
      <c r="D10" s="27">
        <v>2104</v>
      </c>
      <c r="E10" s="72">
        <v>212</v>
      </c>
      <c r="F10" s="72">
        <v>4</v>
      </c>
      <c r="G10" s="21">
        <v>216</v>
      </c>
      <c r="H10" s="72">
        <v>167</v>
      </c>
      <c r="I10" s="21">
        <v>3</v>
      </c>
      <c r="J10" s="21">
        <v>170</v>
      </c>
      <c r="K10" s="21"/>
      <c r="L10" s="21"/>
      <c r="M10" s="21"/>
      <c r="N10" s="21"/>
      <c r="O10" s="21"/>
      <c r="P10" s="21"/>
      <c r="Q10" s="75">
        <v>1855</v>
      </c>
      <c r="R10" s="72">
        <v>33</v>
      </c>
      <c r="S10" s="75">
        <v>1888</v>
      </c>
      <c r="T10" s="30"/>
      <c r="U10" s="30">
        <v>0</v>
      </c>
      <c r="V10" s="30">
        <v>0</v>
      </c>
      <c r="W10" s="30">
        <v>0</v>
      </c>
      <c r="X10" s="30"/>
      <c r="Y10" s="30"/>
      <c r="Z10" s="30"/>
    </row>
    <row r="11" spans="1:26" x14ac:dyDescent="0.2">
      <c r="A11" s="25">
        <v>2000</v>
      </c>
      <c r="B11" s="75">
        <v>6575</v>
      </c>
      <c r="C11" s="75">
        <v>1000</v>
      </c>
      <c r="D11" s="27">
        <v>7575</v>
      </c>
      <c r="E11" s="75">
        <v>1740</v>
      </c>
      <c r="F11" s="72">
        <v>265</v>
      </c>
      <c r="G11" s="27">
        <v>2005</v>
      </c>
      <c r="H11" s="72">
        <v>342</v>
      </c>
      <c r="I11" s="21">
        <v>52</v>
      </c>
      <c r="J11" s="21">
        <v>394</v>
      </c>
      <c r="K11" s="21"/>
      <c r="L11" s="21"/>
      <c r="M11" s="21"/>
      <c r="N11" s="21"/>
      <c r="O11" s="21"/>
      <c r="P11" s="21"/>
      <c r="Q11" s="75">
        <v>4835</v>
      </c>
      <c r="R11" s="72">
        <v>735</v>
      </c>
      <c r="S11" s="75">
        <v>5570</v>
      </c>
      <c r="T11" s="30"/>
      <c r="U11" s="30">
        <v>0</v>
      </c>
      <c r="V11" s="30">
        <v>0</v>
      </c>
      <c r="W11" s="30">
        <v>0</v>
      </c>
      <c r="X11" s="30"/>
      <c r="Y11" s="30"/>
      <c r="Z11" s="30"/>
    </row>
    <row r="12" spans="1:26" x14ac:dyDescent="0.2">
      <c r="A12" s="25">
        <v>2001</v>
      </c>
      <c r="B12" s="75">
        <v>18822</v>
      </c>
      <c r="C12" s="75">
        <v>3753</v>
      </c>
      <c r="D12" s="27">
        <v>22575</v>
      </c>
      <c r="E12" s="75">
        <v>2498</v>
      </c>
      <c r="F12" s="72">
        <v>498</v>
      </c>
      <c r="G12" s="27">
        <v>2996</v>
      </c>
      <c r="H12" s="72">
        <v>336</v>
      </c>
      <c r="I12" s="21">
        <v>67</v>
      </c>
      <c r="J12" s="21">
        <v>403</v>
      </c>
      <c r="K12" s="21"/>
      <c r="L12" s="21"/>
      <c r="M12" s="21"/>
      <c r="N12" s="21"/>
      <c r="O12" s="21"/>
      <c r="P12" s="21"/>
      <c r="Q12" s="75">
        <v>16324</v>
      </c>
      <c r="R12" s="75">
        <v>3255</v>
      </c>
      <c r="S12" s="75">
        <v>19579</v>
      </c>
      <c r="T12" s="30"/>
      <c r="U12" s="30">
        <v>0</v>
      </c>
      <c r="V12" s="30">
        <v>0</v>
      </c>
      <c r="W12" s="30">
        <v>0</v>
      </c>
      <c r="X12" s="30"/>
      <c r="Y12" s="30"/>
      <c r="Z12" s="30"/>
    </row>
    <row r="13" spans="1:26" x14ac:dyDescent="0.2">
      <c r="A13" s="25">
        <v>2002</v>
      </c>
      <c r="B13" s="75">
        <v>4836</v>
      </c>
      <c r="C13" s="72">
        <v>659</v>
      </c>
      <c r="D13" s="79">
        <v>5495</v>
      </c>
      <c r="E13" s="72">
        <v>982</v>
      </c>
      <c r="F13" s="72">
        <v>134</v>
      </c>
      <c r="G13" s="27">
        <v>1116</v>
      </c>
      <c r="H13" s="72">
        <v>345</v>
      </c>
      <c r="I13" s="21">
        <v>47</v>
      </c>
      <c r="J13" s="21">
        <v>392</v>
      </c>
      <c r="K13" s="21"/>
      <c r="L13" s="21"/>
      <c r="M13" s="21"/>
      <c r="N13" s="21"/>
      <c r="O13" s="21"/>
      <c r="P13" s="21"/>
      <c r="Q13" s="75">
        <v>3854</v>
      </c>
      <c r="R13" s="72">
        <v>525</v>
      </c>
      <c r="S13" s="75">
        <v>4379</v>
      </c>
      <c r="T13" s="30"/>
      <c r="U13" s="30">
        <v>0</v>
      </c>
      <c r="V13" s="30">
        <v>0</v>
      </c>
      <c r="W13" s="30">
        <v>0</v>
      </c>
      <c r="X13" s="30"/>
      <c r="Y13" s="30"/>
      <c r="Z13" s="30"/>
    </row>
    <row r="14" spans="1:26" x14ac:dyDescent="0.2">
      <c r="A14" s="25">
        <v>2003</v>
      </c>
      <c r="B14" s="75">
        <v>3175</v>
      </c>
      <c r="C14" s="75">
        <v>1340</v>
      </c>
      <c r="D14" s="27">
        <v>4515</v>
      </c>
      <c r="E14" s="75">
        <v>1090</v>
      </c>
      <c r="F14" s="72">
        <v>460</v>
      </c>
      <c r="G14" s="27">
        <v>1550</v>
      </c>
      <c r="H14" s="72">
        <v>256</v>
      </c>
      <c r="I14" s="21">
        <v>108</v>
      </c>
      <c r="J14" s="21">
        <v>364</v>
      </c>
      <c r="K14" s="21"/>
      <c r="L14" s="21"/>
      <c r="M14" s="21"/>
      <c r="N14" s="21"/>
      <c r="O14" s="21"/>
      <c r="P14" s="21"/>
      <c r="Q14" s="75">
        <v>2085</v>
      </c>
      <c r="R14" s="72">
        <v>880</v>
      </c>
      <c r="S14" s="75">
        <v>2965</v>
      </c>
      <c r="T14" s="30"/>
      <c r="U14" s="30">
        <v>0</v>
      </c>
      <c r="V14" s="30">
        <v>0</v>
      </c>
      <c r="W14" s="30">
        <v>0</v>
      </c>
      <c r="X14" s="30"/>
      <c r="Y14" s="30"/>
      <c r="Z14" s="30"/>
    </row>
    <row r="15" spans="1:26" x14ac:dyDescent="0.2">
      <c r="A15" s="25">
        <v>2004</v>
      </c>
      <c r="B15" s="75">
        <v>1237</v>
      </c>
      <c r="C15" s="72">
        <v>714</v>
      </c>
      <c r="D15" s="27">
        <v>1951</v>
      </c>
      <c r="E15" s="72">
        <v>377</v>
      </c>
      <c r="F15" s="72">
        <v>217</v>
      </c>
      <c r="G15" s="21">
        <v>594</v>
      </c>
      <c r="H15" s="72">
        <v>220</v>
      </c>
      <c r="I15" s="21">
        <v>127</v>
      </c>
      <c r="J15" s="21">
        <v>347</v>
      </c>
      <c r="K15" s="21"/>
      <c r="L15" s="21"/>
      <c r="M15" s="21"/>
      <c r="N15" s="21"/>
      <c r="O15" s="21"/>
      <c r="P15" s="21"/>
      <c r="Q15" s="72">
        <v>860</v>
      </c>
      <c r="R15" s="72">
        <v>497</v>
      </c>
      <c r="S15" s="75">
        <v>1357</v>
      </c>
      <c r="T15" s="30"/>
      <c r="U15" s="30">
        <v>0</v>
      </c>
      <c r="V15" s="30">
        <v>0</v>
      </c>
      <c r="W15" s="30">
        <v>0</v>
      </c>
      <c r="X15" s="30"/>
      <c r="Y15" s="30"/>
      <c r="Z15" s="30"/>
    </row>
    <row r="16" spans="1:26" x14ac:dyDescent="0.2">
      <c r="A16" s="25">
        <v>2005</v>
      </c>
      <c r="B16" s="75">
        <v>2703</v>
      </c>
      <c r="C16" s="72">
        <v>669</v>
      </c>
      <c r="D16" s="27">
        <v>3372</v>
      </c>
      <c r="E16" s="72">
        <v>743</v>
      </c>
      <c r="F16" s="72">
        <v>184</v>
      </c>
      <c r="G16" s="21">
        <v>927</v>
      </c>
      <c r="H16" s="72">
        <v>311</v>
      </c>
      <c r="I16" s="21">
        <v>77</v>
      </c>
      <c r="J16" s="21">
        <v>388</v>
      </c>
      <c r="K16" s="21"/>
      <c r="L16" s="21"/>
      <c r="M16" s="21"/>
      <c r="N16" s="21"/>
      <c r="O16" s="21"/>
      <c r="P16" s="21"/>
      <c r="Q16" s="75">
        <v>1960</v>
      </c>
      <c r="R16" s="72">
        <v>485</v>
      </c>
      <c r="S16" s="75">
        <v>2445</v>
      </c>
      <c r="T16" s="30"/>
      <c r="U16" s="30">
        <v>0</v>
      </c>
      <c r="V16" s="30">
        <v>0</v>
      </c>
      <c r="W16" s="30">
        <v>0</v>
      </c>
      <c r="X16" s="30"/>
      <c r="Y16" s="30"/>
      <c r="Z16" s="30"/>
    </row>
    <row r="17" spans="1:26" x14ac:dyDescent="0.2">
      <c r="A17" s="25">
        <v>2006</v>
      </c>
      <c r="B17" s="75">
        <v>19984</v>
      </c>
      <c r="C17" s="75">
        <v>2491</v>
      </c>
      <c r="D17" s="27">
        <v>22475</v>
      </c>
      <c r="E17" s="75">
        <v>2361</v>
      </c>
      <c r="F17" s="72">
        <v>294</v>
      </c>
      <c r="G17" s="27">
        <v>2655</v>
      </c>
      <c r="H17" s="72">
        <v>369</v>
      </c>
      <c r="I17" s="21">
        <v>46</v>
      </c>
      <c r="J17" s="21">
        <v>415</v>
      </c>
      <c r="K17" s="21"/>
      <c r="L17" s="21"/>
      <c r="M17" s="21"/>
      <c r="N17" s="21"/>
      <c r="O17" s="21"/>
      <c r="P17" s="21"/>
      <c r="Q17" s="75">
        <v>17623</v>
      </c>
      <c r="R17" s="75">
        <v>2197</v>
      </c>
      <c r="S17" s="75">
        <v>19820</v>
      </c>
      <c r="T17" s="30"/>
      <c r="U17" s="30">
        <v>0</v>
      </c>
      <c r="V17" s="30">
        <v>0</v>
      </c>
      <c r="W17" s="30">
        <v>0</v>
      </c>
      <c r="X17" s="30"/>
      <c r="Y17" s="30"/>
      <c r="Z17" s="30"/>
    </row>
    <row r="18" spans="1:26" x14ac:dyDescent="0.2">
      <c r="A18" s="25">
        <v>2007</v>
      </c>
      <c r="B18" s="75">
        <v>7999</v>
      </c>
      <c r="C18" s="75">
        <v>3188</v>
      </c>
      <c r="D18" s="27">
        <v>11187</v>
      </c>
      <c r="E18" s="75">
        <v>2004</v>
      </c>
      <c r="F18" s="72">
        <v>799</v>
      </c>
      <c r="G18" s="27">
        <v>2803</v>
      </c>
      <c r="H18" s="72">
        <v>276</v>
      </c>
      <c r="I18" s="21">
        <v>110</v>
      </c>
      <c r="J18" s="21">
        <v>386</v>
      </c>
      <c r="K18" s="21"/>
      <c r="L18" s="21"/>
      <c r="M18" s="21"/>
      <c r="N18" s="21"/>
      <c r="O18" s="21"/>
      <c r="P18" s="21"/>
      <c r="Q18" s="75">
        <v>5995</v>
      </c>
      <c r="R18" s="75">
        <v>2389</v>
      </c>
      <c r="S18" s="75">
        <v>8384</v>
      </c>
      <c r="T18" s="30"/>
      <c r="U18" s="30">
        <v>0</v>
      </c>
      <c r="V18" s="30">
        <v>0</v>
      </c>
      <c r="W18" s="30">
        <v>0</v>
      </c>
      <c r="X18" s="30"/>
      <c r="Y18" s="30"/>
      <c r="Z18" s="30"/>
    </row>
    <row r="19" spans="1:26" x14ac:dyDescent="0.2">
      <c r="A19" s="25">
        <v>2008</v>
      </c>
      <c r="B19" s="75">
        <v>4809</v>
      </c>
      <c r="C19" s="75">
        <v>4167</v>
      </c>
      <c r="D19" s="27">
        <v>8976</v>
      </c>
      <c r="E19" s="75">
        <v>1500</v>
      </c>
      <c r="F19" s="75">
        <v>1300</v>
      </c>
      <c r="G19" s="27">
        <v>2800</v>
      </c>
      <c r="H19" s="72">
        <v>210</v>
      </c>
      <c r="I19" s="21">
        <v>182</v>
      </c>
      <c r="J19" s="21">
        <v>392</v>
      </c>
      <c r="K19" s="21"/>
      <c r="L19" s="21"/>
      <c r="M19" s="21"/>
      <c r="N19" s="21"/>
      <c r="O19" s="21"/>
      <c r="P19" s="21"/>
      <c r="Q19" s="75">
        <v>3309</v>
      </c>
      <c r="R19" s="75">
        <v>2867</v>
      </c>
      <c r="S19" s="75">
        <v>6176</v>
      </c>
      <c r="T19" s="30"/>
      <c r="U19" s="30">
        <v>0</v>
      </c>
      <c r="V19" s="30">
        <v>0</v>
      </c>
      <c r="W19" s="30">
        <v>0</v>
      </c>
      <c r="X19" s="30"/>
      <c r="Y19" s="30"/>
      <c r="Z19" s="30"/>
    </row>
    <row r="20" spans="1:26" x14ac:dyDescent="0.2">
      <c r="A20" s="25">
        <v>2009</v>
      </c>
      <c r="B20" s="75">
        <v>1679</v>
      </c>
      <c r="C20" s="72">
        <v>353</v>
      </c>
      <c r="D20" s="27">
        <v>2032</v>
      </c>
      <c r="E20" s="72">
        <v>611</v>
      </c>
      <c r="F20" s="72">
        <v>129</v>
      </c>
      <c r="G20" s="21">
        <v>740</v>
      </c>
      <c r="H20" s="72">
        <v>328</v>
      </c>
      <c r="I20" s="21">
        <v>69</v>
      </c>
      <c r="J20" s="21">
        <v>397</v>
      </c>
      <c r="K20" s="21"/>
      <c r="L20" s="21"/>
      <c r="M20" s="21"/>
      <c r="N20" s="21"/>
      <c r="O20" s="21"/>
      <c r="P20" s="21"/>
      <c r="Q20" s="75">
        <v>1067</v>
      </c>
      <c r="R20" s="72">
        <v>225</v>
      </c>
      <c r="S20" s="75">
        <v>1292</v>
      </c>
      <c r="T20" s="30"/>
      <c r="U20" s="30">
        <v>0</v>
      </c>
      <c r="V20" s="30">
        <v>0</v>
      </c>
      <c r="W20" s="30">
        <v>0</v>
      </c>
      <c r="X20" s="30"/>
      <c r="Y20" s="30"/>
      <c r="Z20" s="30"/>
    </row>
    <row r="21" spans="1:26" x14ac:dyDescent="0.2">
      <c r="A21" s="25">
        <v>2010</v>
      </c>
      <c r="B21" s="75">
        <v>2807</v>
      </c>
      <c r="C21" s="72">
        <v>706</v>
      </c>
      <c r="D21" s="27">
        <v>3513</v>
      </c>
      <c r="E21" s="75">
        <v>1119</v>
      </c>
      <c r="F21" s="72">
        <v>281</v>
      </c>
      <c r="G21" s="27">
        <v>1400</v>
      </c>
      <c r="H21" s="72">
        <v>318</v>
      </c>
      <c r="I21" s="21">
        <v>80</v>
      </c>
      <c r="J21" s="21">
        <v>398</v>
      </c>
      <c r="K21" s="21"/>
      <c r="L21" s="21"/>
      <c r="M21" s="21"/>
      <c r="N21" s="22"/>
      <c r="O21" s="22"/>
      <c r="P21" s="22"/>
      <c r="Q21" s="75">
        <v>1688</v>
      </c>
      <c r="R21" s="72">
        <v>425</v>
      </c>
      <c r="S21" s="75">
        <v>2113</v>
      </c>
      <c r="T21" s="30"/>
      <c r="U21" s="30">
        <v>0</v>
      </c>
      <c r="V21" s="30">
        <v>0</v>
      </c>
      <c r="W21" s="30">
        <v>0</v>
      </c>
      <c r="X21" s="30"/>
      <c r="Y21" s="30"/>
      <c r="Z21" s="22"/>
    </row>
    <row r="22" spans="1:26" x14ac:dyDescent="0.2">
      <c r="A22" s="25">
        <v>2011</v>
      </c>
      <c r="B22" s="75">
        <v>5806</v>
      </c>
      <c r="C22" s="75">
        <v>2074</v>
      </c>
      <c r="D22" s="27">
        <v>7880</v>
      </c>
      <c r="E22" s="72">
        <v>958</v>
      </c>
      <c r="F22" s="72">
        <v>342</v>
      </c>
      <c r="G22" s="27">
        <v>1300</v>
      </c>
      <c r="H22" s="72">
        <v>294</v>
      </c>
      <c r="I22" s="21">
        <v>105</v>
      </c>
      <c r="J22" s="21">
        <v>399</v>
      </c>
      <c r="K22" s="21"/>
      <c r="L22" s="21"/>
      <c r="M22" s="21"/>
      <c r="N22" s="22"/>
      <c r="O22" s="22"/>
      <c r="P22" s="22"/>
      <c r="Q22" s="75">
        <v>4848</v>
      </c>
      <c r="R22" s="75">
        <v>1732</v>
      </c>
      <c r="S22" s="75">
        <v>6580</v>
      </c>
      <c r="T22" s="30"/>
      <c r="U22" s="30">
        <v>0</v>
      </c>
      <c r="V22" s="30">
        <v>0</v>
      </c>
      <c r="W22" s="30">
        <v>0</v>
      </c>
      <c r="X22" s="30"/>
      <c r="Y22" s="30"/>
      <c r="Z22" s="22"/>
    </row>
    <row r="23" spans="1:26" x14ac:dyDescent="0.2">
      <c r="A23" s="25">
        <v>2012</v>
      </c>
      <c r="B23" s="75">
        <v>9363</v>
      </c>
      <c r="C23" s="75">
        <v>6242</v>
      </c>
      <c r="D23" s="27">
        <v>15605</v>
      </c>
      <c r="E23" s="72">
        <v>780</v>
      </c>
      <c r="F23" s="72">
        <v>520</v>
      </c>
      <c r="G23" s="27">
        <v>1300</v>
      </c>
      <c r="H23" s="72">
        <v>240</v>
      </c>
      <c r="I23" s="21">
        <v>160</v>
      </c>
      <c r="J23" s="21">
        <v>400</v>
      </c>
      <c r="K23" s="21"/>
      <c r="L23" s="21"/>
      <c r="M23" s="21"/>
      <c r="N23" s="22"/>
      <c r="O23" s="22"/>
      <c r="P23" s="22"/>
      <c r="Q23" s="75">
        <v>8583</v>
      </c>
      <c r="R23" s="75">
        <v>5722</v>
      </c>
      <c r="S23" s="75">
        <v>14305</v>
      </c>
      <c r="T23" s="30"/>
      <c r="U23" s="30">
        <v>0</v>
      </c>
      <c r="V23" s="30">
        <v>0</v>
      </c>
      <c r="W23" s="30">
        <v>0</v>
      </c>
      <c r="X23" s="30"/>
      <c r="Y23" s="30"/>
      <c r="Z23" s="22"/>
    </row>
    <row r="24" spans="1:26" x14ac:dyDescent="0.2">
      <c r="A24" s="25">
        <v>2013</v>
      </c>
      <c r="B24" s="75">
        <v>5548</v>
      </c>
      <c r="C24" s="75">
        <v>4698</v>
      </c>
      <c r="D24" s="27">
        <v>10246</v>
      </c>
      <c r="E24" s="72">
        <v>704</v>
      </c>
      <c r="F24" s="72">
        <v>596</v>
      </c>
      <c r="G24" s="27">
        <v>1300</v>
      </c>
      <c r="H24" s="72">
        <v>209</v>
      </c>
      <c r="I24" s="21">
        <v>177</v>
      </c>
      <c r="J24" s="21">
        <v>386</v>
      </c>
      <c r="K24" s="21"/>
      <c r="L24" s="21"/>
      <c r="M24" s="21"/>
      <c r="N24" s="22"/>
      <c r="O24" s="22"/>
      <c r="P24" s="22"/>
      <c r="Q24" s="75">
        <v>4844</v>
      </c>
      <c r="R24" s="75">
        <v>4102</v>
      </c>
      <c r="S24" s="75">
        <v>8946</v>
      </c>
      <c r="T24" s="30"/>
      <c r="U24" s="30">
        <v>0</v>
      </c>
      <c r="V24" s="30">
        <v>0</v>
      </c>
      <c r="W24" s="30">
        <v>0</v>
      </c>
      <c r="X24" s="30"/>
      <c r="Y24" s="30"/>
      <c r="Z24" s="22"/>
    </row>
    <row r="25" spans="1:26" x14ac:dyDescent="0.2">
      <c r="A25" s="25">
        <v>2014</v>
      </c>
      <c r="B25" s="75">
        <v>1213</v>
      </c>
      <c r="C25" s="72">
        <v>893</v>
      </c>
      <c r="D25" s="27">
        <v>2106</v>
      </c>
      <c r="E25" s="72">
        <v>437</v>
      </c>
      <c r="F25" s="72">
        <v>321</v>
      </c>
      <c r="G25" s="21">
        <v>758</v>
      </c>
      <c r="H25" s="72">
        <v>201</v>
      </c>
      <c r="I25" s="21">
        <v>148</v>
      </c>
      <c r="J25" s="21">
        <v>349</v>
      </c>
      <c r="K25" s="21"/>
      <c r="L25" s="21"/>
      <c r="M25" s="21"/>
      <c r="N25" s="22"/>
      <c r="O25" s="22"/>
      <c r="P25" s="22"/>
      <c r="Q25" s="72">
        <v>776</v>
      </c>
      <c r="R25" s="72">
        <v>572</v>
      </c>
      <c r="S25" s="75">
        <v>1348</v>
      </c>
      <c r="T25" s="30"/>
      <c r="U25" s="30">
        <v>0</v>
      </c>
      <c r="V25" s="30">
        <v>0</v>
      </c>
      <c r="W25" s="30">
        <v>0</v>
      </c>
      <c r="X25" s="30"/>
      <c r="Y25" s="30"/>
      <c r="Z25" s="22"/>
    </row>
    <row r="26" spans="1:26" x14ac:dyDescent="0.2">
      <c r="A26" s="25">
        <v>2015</v>
      </c>
      <c r="B26" s="72">
        <v>868</v>
      </c>
      <c r="C26" s="72">
        <v>669</v>
      </c>
      <c r="D26" s="27">
        <v>1537</v>
      </c>
      <c r="E26" s="72">
        <v>338</v>
      </c>
      <c r="F26" s="72">
        <v>260</v>
      </c>
      <c r="G26" s="21">
        <v>598</v>
      </c>
      <c r="H26" s="72">
        <v>188</v>
      </c>
      <c r="I26" s="21">
        <v>145</v>
      </c>
      <c r="J26" s="21">
        <v>333</v>
      </c>
      <c r="K26" s="21"/>
      <c r="L26" s="21"/>
      <c r="M26" s="21"/>
      <c r="N26" s="22"/>
      <c r="O26" s="22"/>
      <c r="P26" s="22"/>
      <c r="Q26" s="72">
        <v>530</v>
      </c>
      <c r="R26" s="72">
        <v>409</v>
      </c>
      <c r="S26" s="72">
        <v>939</v>
      </c>
      <c r="T26" s="30"/>
      <c r="U26" s="30">
        <v>0</v>
      </c>
      <c r="V26" s="30">
        <v>0</v>
      </c>
      <c r="W26" s="30">
        <v>0</v>
      </c>
      <c r="X26" s="30"/>
      <c r="Y26" s="30"/>
      <c r="Z26" s="22"/>
    </row>
    <row r="27" spans="1:26" x14ac:dyDescent="0.2">
      <c r="A27" s="25">
        <v>2016</v>
      </c>
      <c r="B27" s="75">
        <v>26890</v>
      </c>
      <c r="C27" s="75">
        <v>6044</v>
      </c>
      <c r="D27" s="27">
        <v>32934</v>
      </c>
      <c r="E27" s="75">
        <v>1225</v>
      </c>
      <c r="F27" s="72">
        <v>275</v>
      </c>
      <c r="G27" s="27">
        <v>1500</v>
      </c>
      <c r="H27" s="72">
        <v>396</v>
      </c>
      <c r="I27" s="21">
        <v>89</v>
      </c>
      <c r="J27" s="21">
        <v>485</v>
      </c>
      <c r="K27" s="21"/>
      <c r="L27" s="21"/>
      <c r="M27" s="21"/>
      <c r="N27" s="21"/>
      <c r="O27" s="21"/>
      <c r="P27" s="21">
        <v>100</v>
      </c>
      <c r="Q27" s="75">
        <v>25666</v>
      </c>
      <c r="R27" s="75">
        <v>5768</v>
      </c>
      <c r="S27" s="75">
        <v>31434</v>
      </c>
      <c r="T27" s="30"/>
      <c r="U27" s="30">
        <v>0</v>
      </c>
      <c r="V27" s="30">
        <v>0</v>
      </c>
      <c r="W27" s="30">
        <v>0</v>
      </c>
      <c r="X27" s="30"/>
      <c r="Y27" s="30"/>
      <c r="Z27" s="22"/>
    </row>
    <row r="28" spans="1:26" x14ac:dyDescent="0.2">
      <c r="A28" s="25">
        <v>2017</v>
      </c>
      <c r="B28" s="75">
        <v>22023</v>
      </c>
      <c r="C28" s="75">
        <v>5214</v>
      </c>
      <c r="D28" s="27">
        <v>27237</v>
      </c>
      <c r="E28" s="75">
        <v>1245</v>
      </c>
      <c r="F28" s="72">
        <v>295</v>
      </c>
      <c r="G28" s="27">
        <v>1540</v>
      </c>
      <c r="H28" s="72">
        <v>321</v>
      </c>
      <c r="I28" s="21">
        <v>76</v>
      </c>
      <c r="J28" s="21">
        <v>397</v>
      </c>
      <c r="K28" s="21"/>
      <c r="L28" s="21"/>
      <c r="M28" s="21"/>
      <c r="N28" s="21">
        <v>141</v>
      </c>
      <c r="O28" s="21">
        <v>20</v>
      </c>
      <c r="P28" s="21">
        <v>161</v>
      </c>
      <c r="Q28" s="75">
        <v>20778</v>
      </c>
      <c r="R28" s="75">
        <v>4919</v>
      </c>
      <c r="S28" s="75">
        <v>25697</v>
      </c>
      <c r="T28" s="30"/>
      <c r="U28" s="30">
        <v>0</v>
      </c>
      <c r="V28" s="30">
        <v>0</v>
      </c>
      <c r="W28" s="30">
        <v>0</v>
      </c>
      <c r="X28" s="30"/>
      <c r="Y28" s="30"/>
      <c r="Z28" s="22"/>
    </row>
    <row r="29" spans="1:26" x14ac:dyDescent="0.2">
      <c r="A29" s="25">
        <v>2018</v>
      </c>
      <c r="B29" s="75">
        <v>3614</v>
      </c>
      <c r="C29" s="75">
        <v>1472</v>
      </c>
      <c r="D29" s="27">
        <v>5086</v>
      </c>
      <c r="E29" s="72">
        <v>927</v>
      </c>
      <c r="F29" s="72">
        <v>377</v>
      </c>
      <c r="G29" s="27">
        <v>1304</v>
      </c>
      <c r="H29" s="72">
        <v>280</v>
      </c>
      <c r="I29" s="21">
        <v>114</v>
      </c>
      <c r="J29" s="21">
        <v>394</v>
      </c>
      <c r="K29" s="21"/>
      <c r="L29" s="21"/>
      <c r="M29" s="21"/>
      <c r="N29" s="21">
        <v>0</v>
      </c>
      <c r="O29" s="21">
        <v>0</v>
      </c>
      <c r="P29" s="21">
        <v>0</v>
      </c>
      <c r="Q29" s="75">
        <v>2688</v>
      </c>
      <c r="R29" s="75">
        <v>1094</v>
      </c>
      <c r="S29" s="75">
        <v>3782</v>
      </c>
      <c r="T29" s="30"/>
      <c r="U29" s="30">
        <v>0</v>
      </c>
      <c r="V29" s="30">
        <v>0</v>
      </c>
      <c r="W29" s="30">
        <v>0</v>
      </c>
      <c r="X29" s="30"/>
      <c r="Y29" s="30"/>
      <c r="Z29" s="22"/>
    </row>
    <row r="30" spans="1:26" x14ac:dyDescent="0.2">
      <c r="A30" s="25">
        <v>2019</v>
      </c>
      <c r="B30" s="75">
        <v>2034</v>
      </c>
      <c r="C30" s="75">
        <v>1868</v>
      </c>
      <c r="D30" s="27">
        <v>3902</v>
      </c>
      <c r="E30" s="72">
        <v>651</v>
      </c>
      <c r="F30" s="72">
        <v>597</v>
      </c>
      <c r="G30" s="27">
        <v>1248</v>
      </c>
      <c r="H30" s="72">
        <v>196</v>
      </c>
      <c r="I30" s="21">
        <v>180</v>
      </c>
      <c r="J30" s="21">
        <v>376</v>
      </c>
      <c r="K30" s="21">
        <v>76</v>
      </c>
      <c r="L30" s="21">
        <v>70</v>
      </c>
      <c r="M30" s="21">
        <v>146</v>
      </c>
      <c r="N30" s="21">
        <v>0</v>
      </c>
      <c r="O30" s="21">
        <v>0</v>
      </c>
      <c r="P30" s="21">
        <v>0</v>
      </c>
      <c r="Q30" s="75">
        <v>1307</v>
      </c>
      <c r="R30" s="75">
        <v>1201</v>
      </c>
      <c r="S30" s="75">
        <v>2508</v>
      </c>
      <c r="T30" s="30"/>
      <c r="U30" s="30">
        <v>0</v>
      </c>
      <c r="V30" s="30">
        <v>0</v>
      </c>
      <c r="W30" s="30">
        <v>0</v>
      </c>
      <c r="X30" s="30"/>
      <c r="Y30" s="30"/>
      <c r="Z30" s="22"/>
    </row>
    <row r="31" spans="1:26" x14ac:dyDescent="0.2">
      <c r="A31" s="25">
        <v>2020</v>
      </c>
      <c r="B31" s="75">
        <v>2751</v>
      </c>
      <c r="C31" s="72">
        <v>808</v>
      </c>
      <c r="D31" s="27">
        <v>3559</v>
      </c>
      <c r="E31" s="72">
        <v>804</v>
      </c>
      <c r="F31" s="72">
        <v>236</v>
      </c>
      <c r="G31" s="27">
        <v>1040</v>
      </c>
      <c r="H31" s="72">
        <v>262</v>
      </c>
      <c r="I31" s="21">
        <v>77</v>
      </c>
      <c r="J31" s="21">
        <v>339</v>
      </c>
      <c r="K31" s="21">
        <v>10</v>
      </c>
      <c r="L31" s="21">
        <v>3</v>
      </c>
      <c r="M31" s="21">
        <v>13</v>
      </c>
      <c r="N31" s="21">
        <v>0</v>
      </c>
      <c r="O31" s="21">
        <v>0</v>
      </c>
      <c r="P31" s="21">
        <v>0</v>
      </c>
      <c r="Q31" s="75">
        <v>1937</v>
      </c>
      <c r="R31" s="72">
        <v>569</v>
      </c>
      <c r="S31" s="75">
        <v>2506</v>
      </c>
      <c r="T31" s="30"/>
      <c r="U31" s="30">
        <v>0</v>
      </c>
      <c r="V31" s="30">
        <v>0</v>
      </c>
      <c r="W31" s="30">
        <v>0</v>
      </c>
      <c r="X31" s="30"/>
      <c r="Y31" s="30"/>
      <c r="Z31" s="22"/>
    </row>
    <row r="32" spans="1:26" x14ac:dyDescent="0.2">
      <c r="A32" s="25">
        <v>2021</v>
      </c>
      <c r="B32" s="75">
        <v>18705</v>
      </c>
      <c r="C32" s="75">
        <v>6908</v>
      </c>
      <c r="D32" s="27">
        <v>25613</v>
      </c>
      <c r="E32" s="75">
        <v>1198</v>
      </c>
      <c r="F32" s="72">
        <v>442</v>
      </c>
      <c r="G32" s="27">
        <v>1640</v>
      </c>
      <c r="H32" s="72">
        <v>287</v>
      </c>
      <c r="I32" s="21">
        <v>106</v>
      </c>
      <c r="J32" s="21">
        <v>393</v>
      </c>
      <c r="K32" s="21">
        <v>49</v>
      </c>
      <c r="L32" s="21">
        <v>18</v>
      </c>
      <c r="M32" s="21">
        <v>67</v>
      </c>
      <c r="N32" s="21">
        <v>0</v>
      </c>
      <c r="O32" s="21">
        <v>0</v>
      </c>
      <c r="P32" s="21">
        <v>0</v>
      </c>
      <c r="Q32" s="75">
        <v>17458</v>
      </c>
      <c r="R32" s="75">
        <v>6448</v>
      </c>
      <c r="S32" s="75">
        <v>23906</v>
      </c>
      <c r="T32" s="30"/>
      <c r="U32" s="30">
        <v>0</v>
      </c>
      <c r="V32" s="30">
        <v>0</v>
      </c>
      <c r="W32" s="30">
        <v>0</v>
      </c>
      <c r="X32" s="30"/>
      <c r="Y32" s="30"/>
      <c r="Z32" s="22"/>
    </row>
    <row r="33" spans="1:26" x14ac:dyDescent="0.2">
      <c r="A33" s="25">
        <v>2022</v>
      </c>
      <c r="B33" s="75">
        <v>15469</v>
      </c>
      <c r="C33" s="75">
        <v>6869</v>
      </c>
      <c r="D33" s="27">
        <v>22338</v>
      </c>
      <c r="E33" s="72">
        <v>843</v>
      </c>
      <c r="F33" s="72">
        <v>375</v>
      </c>
      <c r="G33" s="27">
        <v>1218</v>
      </c>
      <c r="H33" s="72">
        <v>277</v>
      </c>
      <c r="I33" s="21">
        <v>123</v>
      </c>
      <c r="J33" s="21">
        <v>400</v>
      </c>
      <c r="K33" s="21">
        <v>151</v>
      </c>
      <c r="L33" s="21">
        <v>67</v>
      </c>
      <c r="M33" s="21">
        <v>218</v>
      </c>
      <c r="N33" s="21">
        <v>0</v>
      </c>
      <c r="O33" s="21">
        <v>0</v>
      </c>
      <c r="P33" s="21">
        <v>0</v>
      </c>
      <c r="Q33" s="75">
        <v>14475</v>
      </c>
      <c r="R33" s="75">
        <v>6427</v>
      </c>
      <c r="S33" s="75">
        <v>20902</v>
      </c>
      <c r="T33" s="30"/>
      <c r="U33" s="30">
        <v>0</v>
      </c>
      <c r="V33" s="30">
        <v>0</v>
      </c>
      <c r="W33" s="30">
        <v>0</v>
      </c>
      <c r="X33" s="30"/>
      <c r="Y33" s="30"/>
      <c r="Z33" s="22"/>
    </row>
    <row r="34" spans="1:26" x14ac:dyDescent="0.2">
      <c r="A34" s="25">
        <v>2023</v>
      </c>
      <c r="B34" s="75">
        <v>6377</v>
      </c>
      <c r="C34" s="75">
        <v>5486</v>
      </c>
      <c r="D34" s="27">
        <v>11863</v>
      </c>
      <c r="E34" s="72">
        <v>617</v>
      </c>
      <c r="F34" s="72">
        <v>531</v>
      </c>
      <c r="G34" s="27">
        <v>1148</v>
      </c>
      <c r="H34" s="72">
        <v>93</v>
      </c>
      <c r="I34" s="21">
        <v>80</v>
      </c>
      <c r="J34" s="21">
        <v>173</v>
      </c>
      <c r="K34" s="21">
        <v>80</v>
      </c>
      <c r="L34" s="21">
        <v>69</v>
      </c>
      <c r="M34" s="21">
        <v>149</v>
      </c>
      <c r="N34" s="21">
        <v>0</v>
      </c>
      <c r="O34" s="21">
        <v>0</v>
      </c>
      <c r="P34" s="21">
        <v>0</v>
      </c>
      <c r="Q34" s="75">
        <v>5680</v>
      </c>
      <c r="R34" s="75">
        <v>4886</v>
      </c>
      <c r="S34" s="75">
        <v>10566</v>
      </c>
      <c r="T34" s="30"/>
      <c r="U34" s="30">
        <v>0</v>
      </c>
      <c r="V34" s="30">
        <v>0</v>
      </c>
      <c r="W34" s="30">
        <v>0</v>
      </c>
      <c r="X34" s="30"/>
      <c r="Y34" s="30"/>
      <c r="Z34" s="22"/>
    </row>
    <row r="35" spans="1:26" x14ac:dyDescent="0.2">
      <c r="A35" s="23">
        <v>2024</v>
      </c>
      <c r="B35" s="70">
        <v>3460</v>
      </c>
      <c r="C35" s="70">
        <v>2718</v>
      </c>
      <c r="D35" s="70">
        <v>6178</v>
      </c>
      <c r="E35" s="71">
        <v>798</v>
      </c>
      <c r="F35" s="71">
        <v>626</v>
      </c>
      <c r="G35" s="70">
        <v>1424</v>
      </c>
      <c r="H35" s="71">
        <v>219</v>
      </c>
      <c r="I35" s="71">
        <v>172</v>
      </c>
      <c r="J35" s="71">
        <v>391</v>
      </c>
      <c r="K35" s="71">
        <v>28</v>
      </c>
      <c r="L35" s="71">
        <v>22</v>
      </c>
      <c r="M35" s="71">
        <v>50</v>
      </c>
      <c r="N35" s="71">
        <v>0</v>
      </c>
      <c r="O35" s="71">
        <v>0</v>
      </c>
      <c r="P35" s="71">
        <v>0</v>
      </c>
      <c r="Q35" s="70">
        <v>2635</v>
      </c>
      <c r="R35" s="70">
        <v>2069</v>
      </c>
      <c r="S35" s="70">
        <v>4704</v>
      </c>
      <c r="T35" s="30"/>
      <c r="U35" s="30">
        <v>0</v>
      </c>
      <c r="V35" s="30">
        <v>0</v>
      </c>
      <c r="W35" s="30">
        <v>0</v>
      </c>
      <c r="X35" s="30"/>
      <c r="Y35" s="30"/>
      <c r="Z35" s="30"/>
    </row>
    <row r="36" spans="1:26" x14ac:dyDescent="0.2">
      <c r="A36" s="211" t="s">
        <v>24</v>
      </c>
      <c r="B36" s="21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30"/>
      <c r="U36" s="30"/>
      <c r="V36" s="21"/>
      <c r="W36" s="30"/>
      <c r="X36" s="30"/>
      <c r="Y36" s="30"/>
      <c r="Z36" s="30"/>
    </row>
    <row r="37" spans="1:26" x14ac:dyDescent="0.2">
      <c r="A37" s="73" t="s">
        <v>302</v>
      </c>
      <c r="B37" s="70">
        <v>9994</v>
      </c>
      <c r="C37" s="70">
        <v>3623</v>
      </c>
      <c r="D37" s="70">
        <v>13618</v>
      </c>
      <c r="E37" s="71">
        <v>828</v>
      </c>
      <c r="F37" s="71">
        <v>371</v>
      </c>
      <c r="G37" s="70">
        <v>1199</v>
      </c>
      <c r="H37" s="71">
        <v>250</v>
      </c>
      <c r="I37" s="71">
        <v>114</v>
      </c>
      <c r="J37" s="71">
        <v>364</v>
      </c>
      <c r="K37" s="71"/>
      <c r="L37" s="71"/>
      <c r="M37" s="71"/>
      <c r="N37" s="71"/>
      <c r="O37" s="71"/>
      <c r="P37" s="71"/>
      <c r="Q37" s="70">
        <v>9129</v>
      </c>
      <c r="R37" s="70">
        <v>3229</v>
      </c>
      <c r="S37" s="70">
        <v>12359</v>
      </c>
      <c r="T37" s="30"/>
      <c r="U37" s="30"/>
      <c r="V37" s="21"/>
      <c r="W37" s="30"/>
      <c r="X37" s="30"/>
      <c r="Y37" s="30"/>
      <c r="Z37" s="30"/>
    </row>
  </sheetData>
  <mergeCells count="7">
    <mergeCell ref="H4:J4"/>
    <mergeCell ref="K4:M4"/>
    <mergeCell ref="N4:P4"/>
    <mergeCell ref="Q4:S4"/>
    <mergeCell ref="A36:B36"/>
    <mergeCell ref="B4:D4"/>
    <mergeCell ref="E4:G4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50"/>
  <sheetViews>
    <sheetView zoomScaleNormal="100" workbookViewId="0">
      <selection activeCell="F50" sqref="F50"/>
    </sheetView>
  </sheetViews>
  <sheetFormatPr baseColWidth="10" defaultColWidth="8.83203125" defaultRowHeight="15" x14ac:dyDescent="0.2"/>
  <sheetData>
    <row r="1" spans="1:21" x14ac:dyDescent="0.2">
      <c r="A1" s="73" t="s">
        <v>255</v>
      </c>
      <c r="B1" s="73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1"/>
      <c r="Q1" s="21"/>
      <c r="R1" s="21"/>
      <c r="S1" s="30"/>
      <c r="T1" s="30"/>
      <c r="U1" s="30"/>
    </row>
    <row r="2" spans="1:21" x14ac:dyDescent="0.2">
      <c r="A2" s="81" t="s">
        <v>139</v>
      </c>
      <c r="B2" s="81"/>
      <c r="C2" s="19"/>
      <c r="D2" s="19"/>
      <c r="E2" s="19"/>
      <c r="F2" s="19"/>
      <c r="G2" s="21"/>
      <c r="H2" s="21"/>
      <c r="I2" s="21"/>
      <c r="J2" s="19"/>
      <c r="K2" s="19"/>
      <c r="L2" s="19"/>
      <c r="M2" s="21"/>
      <c r="N2" s="21"/>
      <c r="O2" s="21"/>
      <c r="P2" s="21"/>
      <c r="Q2" s="21"/>
      <c r="R2" s="21"/>
      <c r="S2" s="21"/>
      <c r="T2" s="21"/>
      <c r="U2" s="21"/>
    </row>
    <row r="3" spans="1:21" ht="17" x14ac:dyDescent="0.3">
      <c r="A3" s="21"/>
      <c r="B3" s="98"/>
      <c r="C3" s="22"/>
      <c r="D3" s="210" t="s">
        <v>27</v>
      </c>
      <c r="E3" s="210"/>
      <c r="F3" s="210"/>
      <c r="G3" s="210" t="s">
        <v>136</v>
      </c>
      <c r="H3" s="210"/>
      <c r="I3" s="210"/>
      <c r="J3" s="210" t="s">
        <v>135</v>
      </c>
      <c r="K3" s="210"/>
      <c r="L3" s="210"/>
      <c r="M3" s="210" t="s">
        <v>140</v>
      </c>
      <c r="N3" s="210"/>
      <c r="O3" s="210"/>
      <c r="P3" s="22"/>
      <c r="Q3" s="22"/>
      <c r="R3" s="22"/>
      <c r="S3" s="22"/>
      <c r="T3" s="212"/>
      <c r="U3" s="212"/>
    </row>
    <row r="4" spans="1:21" x14ac:dyDescent="0.2">
      <c r="A4" s="19" t="s">
        <v>10</v>
      </c>
      <c r="B4" s="19" t="s">
        <v>141</v>
      </c>
      <c r="C4" s="19" t="s">
        <v>142</v>
      </c>
      <c r="D4" s="19" t="s">
        <v>103</v>
      </c>
      <c r="E4" s="19" t="s">
        <v>101</v>
      </c>
      <c r="F4" s="19" t="s">
        <v>33</v>
      </c>
      <c r="G4" s="19" t="s">
        <v>103</v>
      </c>
      <c r="H4" s="19" t="s">
        <v>101</v>
      </c>
      <c r="I4" s="19" t="s">
        <v>33</v>
      </c>
      <c r="J4" s="19" t="s">
        <v>103</v>
      </c>
      <c r="K4" s="19" t="s">
        <v>101</v>
      </c>
      <c r="L4" s="19" t="s">
        <v>33</v>
      </c>
      <c r="M4" s="19" t="s">
        <v>33</v>
      </c>
      <c r="N4" s="19" t="s">
        <v>143</v>
      </c>
      <c r="O4" s="19" t="s">
        <v>144</v>
      </c>
      <c r="P4" s="21"/>
      <c r="Q4" s="21"/>
      <c r="R4" s="21"/>
      <c r="S4" s="30"/>
      <c r="T4" s="30"/>
      <c r="U4" s="21"/>
    </row>
    <row r="5" spans="1:21" x14ac:dyDescent="0.2">
      <c r="A5" s="25">
        <v>1983</v>
      </c>
      <c r="B5" s="27">
        <v>7402</v>
      </c>
      <c r="C5" s="21"/>
      <c r="D5" s="72">
        <v>0</v>
      </c>
      <c r="E5" s="21"/>
      <c r="F5" s="72">
        <v>0</v>
      </c>
      <c r="G5" s="21"/>
      <c r="H5" s="21"/>
      <c r="I5" s="21"/>
      <c r="J5" s="21"/>
      <c r="K5" s="21"/>
      <c r="L5" s="21"/>
      <c r="M5" s="27">
        <v>7402</v>
      </c>
      <c r="N5" s="75">
        <v>7402</v>
      </c>
      <c r="O5" s="21"/>
      <c r="P5" s="21"/>
      <c r="Q5" s="21"/>
      <c r="R5" s="21"/>
      <c r="S5" s="21">
        <v>0</v>
      </c>
      <c r="T5" s="30"/>
      <c r="U5" s="30"/>
    </row>
    <row r="6" spans="1:21" x14ac:dyDescent="0.2">
      <c r="A6" s="25">
        <v>1984</v>
      </c>
      <c r="B6" s="27">
        <v>13084</v>
      </c>
      <c r="C6" s="21"/>
      <c r="D6" s="72">
        <v>0</v>
      </c>
      <c r="E6" s="21"/>
      <c r="F6" s="72">
        <v>0</v>
      </c>
      <c r="G6" s="21"/>
      <c r="H6" s="21"/>
      <c r="I6" s="21"/>
      <c r="J6" s="21"/>
      <c r="K6" s="21"/>
      <c r="L6" s="21"/>
      <c r="M6" s="27">
        <v>13084</v>
      </c>
      <c r="N6" s="75">
        <v>13084</v>
      </c>
      <c r="O6" s="21"/>
      <c r="P6" s="21"/>
      <c r="Q6" s="21"/>
      <c r="R6" s="21"/>
      <c r="S6" s="21">
        <v>0</v>
      </c>
      <c r="T6" s="30"/>
      <c r="U6" s="30"/>
    </row>
    <row r="7" spans="1:21" x14ac:dyDescent="0.2">
      <c r="A7" s="25">
        <v>1985</v>
      </c>
      <c r="B7" s="27">
        <v>14889</v>
      </c>
      <c r="C7" s="21"/>
      <c r="D7" s="72">
        <v>0</v>
      </c>
      <c r="E7" s="21"/>
      <c r="F7" s="72">
        <v>0</v>
      </c>
      <c r="G7" s="21"/>
      <c r="H7" s="21"/>
      <c r="I7" s="21"/>
      <c r="J7" s="21"/>
      <c r="K7" s="21"/>
      <c r="L7" s="21"/>
      <c r="M7" s="27">
        <v>14889</v>
      </c>
      <c r="N7" s="75">
        <v>14889</v>
      </c>
      <c r="O7" s="21"/>
      <c r="P7" s="21"/>
      <c r="Q7" s="21"/>
      <c r="R7" s="21"/>
      <c r="S7" s="21">
        <v>0</v>
      </c>
      <c r="T7" s="30"/>
      <c r="U7" s="30"/>
    </row>
    <row r="8" spans="1:21" x14ac:dyDescent="0.2">
      <c r="A8" s="25">
        <v>1986</v>
      </c>
      <c r="B8" s="27">
        <v>13820</v>
      </c>
      <c r="C8" s="21"/>
      <c r="D8" s="72">
        <v>0</v>
      </c>
      <c r="E8" s="21"/>
      <c r="F8" s="72">
        <v>0</v>
      </c>
      <c r="G8" s="21"/>
      <c r="H8" s="21"/>
      <c r="I8" s="21"/>
      <c r="J8" s="21"/>
      <c r="K8" s="21"/>
      <c r="L8" s="21"/>
      <c r="M8" s="27">
        <v>13820</v>
      </c>
      <c r="N8" s="75">
        <v>13820</v>
      </c>
      <c r="O8" s="21"/>
      <c r="P8" s="21"/>
      <c r="Q8" s="21"/>
      <c r="R8" s="21"/>
      <c r="S8" s="21">
        <v>0</v>
      </c>
      <c r="T8" s="30"/>
      <c r="U8" s="30"/>
    </row>
    <row r="9" spans="1:21" x14ac:dyDescent="0.2">
      <c r="A9" s="25">
        <v>1987</v>
      </c>
      <c r="B9" s="27">
        <v>12007</v>
      </c>
      <c r="C9" s="21"/>
      <c r="D9" s="72">
        <v>0</v>
      </c>
      <c r="E9" s="21"/>
      <c r="F9" s="72">
        <v>0</v>
      </c>
      <c r="G9" s="21"/>
      <c r="H9" s="21"/>
      <c r="I9" s="21"/>
      <c r="J9" s="21"/>
      <c r="K9" s="21"/>
      <c r="L9" s="21"/>
      <c r="M9" s="27">
        <v>12007</v>
      </c>
      <c r="N9" s="75">
        <v>12007</v>
      </c>
      <c r="O9" s="21"/>
      <c r="P9" s="21"/>
      <c r="Q9" s="21"/>
      <c r="R9" s="21"/>
      <c r="S9" s="21">
        <v>0</v>
      </c>
      <c r="T9" s="30"/>
      <c r="U9" s="30"/>
    </row>
    <row r="10" spans="1:21" x14ac:dyDescent="0.2">
      <c r="A10" s="25">
        <v>1988</v>
      </c>
      <c r="B10" s="27">
        <v>10637</v>
      </c>
      <c r="C10" s="21"/>
      <c r="D10" s="72">
        <v>0</v>
      </c>
      <c r="E10" s="21"/>
      <c r="F10" s="72">
        <v>0</v>
      </c>
      <c r="G10" s="21"/>
      <c r="H10" s="21"/>
      <c r="I10" s="21"/>
      <c r="J10" s="21"/>
      <c r="K10" s="21"/>
      <c r="L10" s="21"/>
      <c r="M10" s="27">
        <v>10637</v>
      </c>
      <c r="N10" s="75">
        <v>10637</v>
      </c>
      <c r="O10" s="21"/>
      <c r="P10" s="21"/>
      <c r="Q10" s="21"/>
      <c r="R10" s="21"/>
      <c r="S10" s="21">
        <v>0</v>
      </c>
      <c r="T10" s="30"/>
      <c r="U10" s="30"/>
    </row>
    <row r="11" spans="1:21" x14ac:dyDescent="0.2">
      <c r="A11" s="25">
        <v>1989</v>
      </c>
      <c r="B11" s="27">
        <v>9606</v>
      </c>
      <c r="C11" s="21"/>
      <c r="D11" s="72">
        <v>0</v>
      </c>
      <c r="E11" s="21"/>
      <c r="F11" s="72">
        <v>0</v>
      </c>
      <c r="G11" s="21"/>
      <c r="H11" s="21"/>
      <c r="I11" s="21"/>
      <c r="J11" s="21"/>
      <c r="K11" s="21"/>
      <c r="L11" s="21"/>
      <c r="M11" s="27">
        <v>9606</v>
      </c>
      <c r="N11" s="75">
        <v>9606</v>
      </c>
      <c r="O11" s="21"/>
      <c r="P11" s="21"/>
      <c r="Q11" s="21"/>
      <c r="R11" s="21"/>
      <c r="S11" s="21">
        <v>0</v>
      </c>
      <c r="T11" s="30"/>
      <c r="U11" s="30"/>
    </row>
    <row r="12" spans="1:21" x14ac:dyDescent="0.2">
      <c r="A12" s="25">
        <v>1990</v>
      </c>
      <c r="B12" s="27">
        <v>9443</v>
      </c>
      <c r="C12" s="21"/>
      <c r="D12" s="75">
        <v>1666</v>
      </c>
      <c r="E12" s="21"/>
      <c r="F12" s="75">
        <v>1666</v>
      </c>
      <c r="G12" s="21"/>
      <c r="H12" s="21"/>
      <c r="I12" s="21"/>
      <c r="J12" s="21"/>
      <c r="K12" s="21"/>
      <c r="L12" s="21"/>
      <c r="M12" s="27">
        <v>7777</v>
      </c>
      <c r="N12" s="75">
        <v>7777</v>
      </c>
      <c r="O12" s="24"/>
      <c r="P12" s="21"/>
      <c r="Q12" s="21"/>
      <c r="R12" s="21"/>
      <c r="S12" s="21">
        <v>0</v>
      </c>
      <c r="T12" s="30"/>
      <c r="U12" s="30"/>
    </row>
    <row r="13" spans="1:21" x14ac:dyDescent="0.2">
      <c r="A13" s="25">
        <v>1991</v>
      </c>
      <c r="B13" s="27">
        <v>22942</v>
      </c>
      <c r="C13" s="21"/>
      <c r="D13" s="75">
        <v>1941</v>
      </c>
      <c r="E13" s="21"/>
      <c r="F13" s="75">
        <v>1941</v>
      </c>
      <c r="G13" s="21"/>
      <c r="H13" s="21"/>
      <c r="I13" s="21"/>
      <c r="J13" s="21"/>
      <c r="K13" s="21"/>
      <c r="L13" s="21"/>
      <c r="M13" s="27">
        <v>21001</v>
      </c>
      <c r="N13" s="75">
        <v>21001</v>
      </c>
      <c r="O13" s="24"/>
      <c r="P13" s="21"/>
      <c r="Q13" s="21"/>
      <c r="R13" s="21"/>
      <c r="S13" s="21">
        <v>0</v>
      </c>
      <c r="T13" s="30"/>
      <c r="U13" s="30"/>
    </row>
    <row r="14" spans="1:21" x14ac:dyDescent="0.2">
      <c r="A14" s="25">
        <v>1992</v>
      </c>
      <c r="B14" s="27">
        <v>14372</v>
      </c>
      <c r="C14" s="21"/>
      <c r="D14" s="75">
        <v>1640</v>
      </c>
      <c r="E14" s="21"/>
      <c r="F14" s="75">
        <v>1640</v>
      </c>
      <c r="G14" s="21"/>
      <c r="H14" s="21"/>
      <c r="I14" s="21"/>
      <c r="J14" s="21"/>
      <c r="K14" s="21"/>
      <c r="L14" s="21"/>
      <c r="M14" s="27">
        <v>12732</v>
      </c>
      <c r="N14" s="75">
        <v>12732</v>
      </c>
      <c r="O14" s="24"/>
      <c r="P14" s="21"/>
      <c r="Q14" s="21"/>
      <c r="R14" s="21"/>
      <c r="S14" s="21">
        <v>0</v>
      </c>
      <c r="T14" s="30"/>
      <c r="U14" s="30"/>
    </row>
    <row r="15" spans="1:21" x14ac:dyDescent="0.2">
      <c r="A15" s="25">
        <v>1993</v>
      </c>
      <c r="B15" s="27">
        <v>17432</v>
      </c>
      <c r="C15" s="21"/>
      <c r="D15" s="72">
        <v>747</v>
      </c>
      <c r="E15" s="21"/>
      <c r="F15" s="72">
        <v>747</v>
      </c>
      <c r="G15" s="21"/>
      <c r="H15" s="21"/>
      <c r="I15" s="21"/>
      <c r="J15" s="21"/>
      <c r="K15" s="21"/>
      <c r="L15" s="21"/>
      <c r="M15" s="27">
        <v>16685</v>
      </c>
      <c r="N15" s="75">
        <v>16685</v>
      </c>
      <c r="O15" s="24"/>
      <c r="P15" s="21"/>
      <c r="Q15" s="21"/>
      <c r="R15" s="21"/>
      <c r="S15" s="21">
        <v>0</v>
      </c>
      <c r="T15" s="30"/>
      <c r="U15" s="30"/>
    </row>
    <row r="16" spans="1:21" x14ac:dyDescent="0.2">
      <c r="A16" s="25">
        <v>1994</v>
      </c>
      <c r="B16" s="27">
        <v>13438</v>
      </c>
      <c r="C16" s="21"/>
      <c r="D16" s="72">
        <v>747</v>
      </c>
      <c r="E16" s="21"/>
      <c r="F16" s="72">
        <v>747</v>
      </c>
      <c r="G16" s="21"/>
      <c r="H16" s="21"/>
      <c r="I16" s="21"/>
      <c r="J16" s="21"/>
      <c r="K16" s="21"/>
      <c r="L16" s="21"/>
      <c r="M16" s="27">
        <v>12691</v>
      </c>
      <c r="N16" s="75">
        <v>12691</v>
      </c>
      <c r="O16" s="24"/>
      <c r="P16" s="21"/>
      <c r="Q16" s="21"/>
      <c r="R16" s="21"/>
      <c r="S16" s="21">
        <v>0</v>
      </c>
      <c r="T16" s="30"/>
      <c r="U16" s="30"/>
    </row>
    <row r="17" spans="1:21" x14ac:dyDescent="0.2">
      <c r="A17" s="25">
        <v>1995</v>
      </c>
      <c r="B17" s="27">
        <v>11524</v>
      </c>
      <c r="C17" s="21"/>
      <c r="D17" s="72">
        <v>0</v>
      </c>
      <c r="E17" s="21"/>
      <c r="F17" s="72">
        <v>0</v>
      </c>
      <c r="G17" s="21"/>
      <c r="H17" s="21"/>
      <c r="I17" s="21"/>
      <c r="J17" s="21"/>
      <c r="K17" s="21"/>
      <c r="L17" s="21"/>
      <c r="M17" s="27">
        <v>11524</v>
      </c>
      <c r="N17" s="75">
        <v>11067</v>
      </c>
      <c r="O17" s="99">
        <v>457</v>
      </c>
      <c r="P17" s="21"/>
      <c r="Q17" s="21"/>
      <c r="R17" s="21"/>
      <c r="S17" s="21">
        <v>0</v>
      </c>
      <c r="T17" s="30"/>
      <c r="U17" s="30"/>
    </row>
    <row r="18" spans="1:21" x14ac:dyDescent="0.2">
      <c r="A18" s="25">
        <v>1996</v>
      </c>
      <c r="B18" s="27">
        <v>5483</v>
      </c>
      <c r="C18" s="21"/>
      <c r="D18" s="72">
        <v>0</v>
      </c>
      <c r="E18" s="21"/>
      <c r="F18" s="72">
        <v>0</v>
      </c>
      <c r="G18" s="21"/>
      <c r="H18" s="21"/>
      <c r="I18" s="21"/>
      <c r="J18" s="21"/>
      <c r="K18" s="21"/>
      <c r="L18" s="21"/>
      <c r="M18" s="27">
        <v>5483</v>
      </c>
      <c r="N18" s="75">
        <v>5292</v>
      </c>
      <c r="O18" s="99">
        <v>191</v>
      </c>
      <c r="P18" s="21"/>
      <c r="Q18" s="21"/>
      <c r="R18" s="21"/>
      <c r="S18" s="21">
        <v>0</v>
      </c>
      <c r="T18" s="30"/>
      <c r="U18" s="30"/>
    </row>
    <row r="19" spans="1:21" x14ac:dyDescent="0.2">
      <c r="A19" s="25">
        <v>1997</v>
      </c>
      <c r="B19" s="27">
        <v>5924</v>
      </c>
      <c r="C19" s="21"/>
      <c r="D19" s="72">
        <v>0</v>
      </c>
      <c r="E19" s="21"/>
      <c r="F19" s="72">
        <v>0</v>
      </c>
      <c r="G19" s="21"/>
      <c r="H19" s="21"/>
      <c r="I19" s="21"/>
      <c r="J19" s="21"/>
      <c r="K19" s="21"/>
      <c r="L19" s="21"/>
      <c r="M19" s="27">
        <v>5924</v>
      </c>
      <c r="N19" s="75">
        <v>5543</v>
      </c>
      <c r="O19" s="99">
        <v>381</v>
      </c>
      <c r="P19" s="21"/>
      <c r="Q19" s="21"/>
      <c r="R19" s="21"/>
      <c r="S19" s="21">
        <v>0</v>
      </c>
      <c r="T19" s="30"/>
      <c r="U19" s="30"/>
    </row>
    <row r="20" spans="1:21" x14ac:dyDescent="0.2">
      <c r="A20" s="25">
        <v>1998</v>
      </c>
      <c r="B20" s="27">
        <v>8717</v>
      </c>
      <c r="C20" s="21"/>
      <c r="D20" s="72">
        <v>0</v>
      </c>
      <c r="E20" s="21"/>
      <c r="F20" s="72">
        <v>0</v>
      </c>
      <c r="G20" s="21"/>
      <c r="H20" s="21"/>
      <c r="I20" s="21"/>
      <c r="J20" s="21"/>
      <c r="K20" s="21"/>
      <c r="L20" s="21"/>
      <c r="M20" s="27">
        <v>8717</v>
      </c>
      <c r="N20" s="75">
        <v>7698</v>
      </c>
      <c r="O20" s="100">
        <v>1019</v>
      </c>
      <c r="P20" s="21"/>
      <c r="Q20" s="21"/>
      <c r="R20" s="21"/>
      <c r="S20" s="21">
        <v>0</v>
      </c>
      <c r="T20" s="30"/>
      <c r="U20" s="30"/>
    </row>
    <row r="21" spans="1:21" x14ac:dyDescent="0.2">
      <c r="A21" s="25">
        <v>1999</v>
      </c>
      <c r="B21" s="27">
        <v>11805</v>
      </c>
      <c r="C21" s="21"/>
      <c r="D21" s="72">
        <v>0</v>
      </c>
      <c r="E21" s="21"/>
      <c r="F21" s="72">
        <v>0</v>
      </c>
      <c r="G21" s="21"/>
      <c r="H21" s="21"/>
      <c r="I21" s="21"/>
      <c r="J21" s="21"/>
      <c r="K21" s="21"/>
      <c r="L21" s="21"/>
      <c r="M21" s="27">
        <v>11805</v>
      </c>
      <c r="N21" s="75">
        <v>11760</v>
      </c>
      <c r="O21" s="99">
        <v>45</v>
      </c>
      <c r="P21" s="21"/>
      <c r="Q21" s="21"/>
      <c r="R21" s="21"/>
      <c r="S21" s="21">
        <v>0</v>
      </c>
      <c r="T21" s="30"/>
      <c r="U21" s="30"/>
    </row>
    <row r="22" spans="1:21" x14ac:dyDescent="0.2">
      <c r="A22" s="25">
        <v>2000</v>
      </c>
      <c r="B22" s="27">
        <v>11551</v>
      </c>
      <c r="C22" s="21"/>
      <c r="D22" s="72">
        <v>0</v>
      </c>
      <c r="E22" s="21"/>
      <c r="F22" s="72">
        <v>0</v>
      </c>
      <c r="G22" s="21"/>
      <c r="H22" s="21"/>
      <c r="I22" s="21"/>
      <c r="J22" s="21"/>
      <c r="K22" s="21"/>
      <c r="L22" s="21"/>
      <c r="M22" s="27">
        <v>11551</v>
      </c>
      <c r="N22" s="75">
        <v>11551</v>
      </c>
      <c r="O22" s="99">
        <v>0</v>
      </c>
      <c r="P22" s="21"/>
      <c r="Q22" s="21"/>
      <c r="R22" s="21"/>
      <c r="S22" s="21">
        <v>0</v>
      </c>
      <c r="T22" s="30"/>
      <c r="U22" s="30"/>
    </row>
    <row r="23" spans="1:21" x14ac:dyDescent="0.2">
      <c r="A23" s="25">
        <v>2001</v>
      </c>
      <c r="B23" s="27">
        <v>16860</v>
      </c>
      <c r="C23" s="21"/>
      <c r="D23" s="72">
        <v>0</v>
      </c>
      <c r="E23" s="21"/>
      <c r="F23" s="72">
        <v>0</v>
      </c>
      <c r="G23" s="21"/>
      <c r="H23" s="21"/>
      <c r="I23" s="21"/>
      <c r="J23" s="21"/>
      <c r="K23" s="21"/>
      <c r="L23" s="21"/>
      <c r="M23" s="27">
        <v>16860</v>
      </c>
      <c r="N23" s="75">
        <v>16860</v>
      </c>
      <c r="O23" s="99">
        <v>0</v>
      </c>
      <c r="P23" s="21"/>
      <c r="Q23" s="21"/>
      <c r="R23" s="21"/>
      <c r="S23" s="21">
        <v>0</v>
      </c>
      <c r="T23" s="30"/>
      <c r="U23" s="30"/>
    </row>
    <row r="24" spans="1:21" x14ac:dyDescent="0.2">
      <c r="A24" s="25">
        <v>2002</v>
      </c>
      <c r="B24" s="27">
        <v>7973</v>
      </c>
      <c r="C24" s="21"/>
      <c r="D24" s="72">
        <v>0</v>
      </c>
      <c r="E24" s="21"/>
      <c r="F24" s="72">
        <v>0</v>
      </c>
      <c r="G24" s="21"/>
      <c r="H24" s="21"/>
      <c r="I24" s="21"/>
      <c r="J24" s="21"/>
      <c r="K24" s="21"/>
      <c r="L24" s="21"/>
      <c r="M24" s="27">
        <v>7973</v>
      </c>
      <c r="N24" s="75">
        <v>7973</v>
      </c>
      <c r="O24" s="99">
        <v>0</v>
      </c>
      <c r="P24" s="21"/>
      <c r="Q24" s="21"/>
      <c r="R24" s="21"/>
      <c r="S24" s="21">
        <v>0</v>
      </c>
      <c r="T24" s="30"/>
      <c r="U24" s="30"/>
    </row>
    <row r="25" spans="1:21" x14ac:dyDescent="0.2">
      <c r="A25" s="25">
        <v>2003</v>
      </c>
      <c r="B25" s="27">
        <v>31227</v>
      </c>
      <c r="C25" s="21"/>
      <c r="D25" s="72">
        <v>0</v>
      </c>
      <c r="E25" s="21"/>
      <c r="F25" s="72">
        <v>0</v>
      </c>
      <c r="G25" s="21"/>
      <c r="H25" s="21"/>
      <c r="I25" s="21"/>
      <c r="J25" s="21"/>
      <c r="K25" s="21"/>
      <c r="L25" s="21"/>
      <c r="M25" s="27">
        <v>31227</v>
      </c>
      <c r="N25" s="75">
        <v>31227</v>
      </c>
      <c r="O25" s="99">
        <v>0</v>
      </c>
      <c r="P25" s="21"/>
      <c r="Q25" s="21"/>
      <c r="R25" s="21"/>
      <c r="S25" s="21">
        <v>0</v>
      </c>
      <c r="T25" s="30"/>
      <c r="U25" s="30"/>
    </row>
    <row r="26" spans="1:21" x14ac:dyDescent="0.2">
      <c r="A26" s="25">
        <v>2004</v>
      </c>
      <c r="B26" s="27">
        <v>9613</v>
      </c>
      <c r="C26" s="21"/>
      <c r="D26" s="72">
        <v>0</v>
      </c>
      <c r="E26" s="21"/>
      <c r="F26" s="72">
        <v>0</v>
      </c>
      <c r="G26" s="21"/>
      <c r="H26" s="21"/>
      <c r="I26" s="21"/>
      <c r="J26" s="21"/>
      <c r="K26" s="21"/>
      <c r="L26" s="21"/>
      <c r="M26" s="27">
        <v>9613</v>
      </c>
      <c r="N26" s="75">
        <v>9613</v>
      </c>
      <c r="O26" s="99">
        <v>0</v>
      </c>
      <c r="P26" s="21"/>
      <c r="Q26" s="21"/>
      <c r="R26" s="21"/>
      <c r="S26" s="21">
        <v>0</v>
      </c>
      <c r="T26" s="30"/>
      <c r="U26" s="30"/>
    </row>
    <row r="27" spans="1:21" x14ac:dyDescent="0.2">
      <c r="A27" s="25">
        <v>2005</v>
      </c>
      <c r="B27" s="27">
        <v>16009</v>
      </c>
      <c r="C27" s="21"/>
      <c r="D27" s="72">
        <v>0</v>
      </c>
      <c r="E27" s="21"/>
      <c r="F27" s="72">
        <v>0</v>
      </c>
      <c r="G27" s="21"/>
      <c r="H27" s="21"/>
      <c r="I27" s="21"/>
      <c r="J27" s="21"/>
      <c r="K27" s="21"/>
      <c r="L27" s="21"/>
      <c r="M27" s="27">
        <v>16009</v>
      </c>
      <c r="N27" s="75">
        <v>16009</v>
      </c>
      <c r="O27" s="99">
        <v>0</v>
      </c>
      <c r="P27" s="21"/>
      <c r="Q27" s="21"/>
      <c r="R27" s="21"/>
      <c r="S27" s="21">
        <v>0</v>
      </c>
      <c r="T27" s="30"/>
      <c r="U27" s="30"/>
    </row>
    <row r="28" spans="1:21" x14ac:dyDescent="0.2">
      <c r="A28" s="25">
        <v>2006</v>
      </c>
      <c r="B28" s="27">
        <v>25265</v>
      </c>
      <c r="C28" s="21"/>
      <c r="D28" s="72">
        <v>708</v>
      </c>
      <c r="E28" s="21"/>
      <c r="F28" s="72">
        <v>708</v>
      </c>
      <c r="G28" s="21"/>
      <c r="H28" s="21"/>
      <c r="I28" s="21"/>
      <c r="J28" s="21"/>
      <c r="K28" s="21"/>
      <c r="L28" s="21"/>
      <c r="M28" s="27">
        <v>24557</v>
      </c>
      <c r="N28" s="75">
        <v>24557</v>
      </c>
      <c r="O28" s="99">
        <v>0</v>
      </c>
      <c r="P28" s="21"/>
      <c r="Q28" s="21"/>
      <c r="R28" s="21"/>
      <c r="S28" s="21">
        <v>0</v>
      </c>
      <c r="T28" s="30"/>
      <c r="U28" s="30"/>
    </row>
    <row r="29" spans="1:21" x14ac:dyDescent="0.2">
      <c r="A29" s="25">
        <v>2007</v>
      </c>
      <c r="B29" s="27">
        <v>7153</v>
      </c>
      <c r="C29" s="21"/>
      <c r="D29" s="72">
        <v>813</v>
      </c>
      <c r="E29" s="21"/>
      <c r="F29" s="72">
        <v>813</v>
      </c>
      <c r="G29" s="21"/>
      <c r="H29" s="21"/>
      <c r="I29" s="21"/>
      <c r="J29" s="21"/>
      <c r="K29" s="21"/>
      <c r="L29" s="21"/>
      <c r="M29" s="27">
        <v>6340</v>
      </c>
      <c r="N29" s="75">
        <v>6340</v>
      </c>
      <c r="O29" s="99">
        <v>0</v>
      </c>
      <c r="P29" s="21"/>
      <c r="Q29" s="21"/>
      <c r="R29" s="21"/>
      <c r="S29" s="21">
        <v>0</v>
      </c>
      <c r="T29" s="30"/>
      <c r="U29" s="30"/>
    </row>
    <row r="30" spans="1:21" x14ac:dyDescent="0.2">
      <c r="A30" s="25">
        <v>2008</v>
      </c>
      <c r="B30" s="27">
        <v>3831</v>
      </c>
      <c r="C30" s="21"/>
      <c r="D30" s="75">
        <v>1040</v>
      </c>
      <c r="E30" s="21"/>
      <c r="F30" s="75">
        <v>1040</v>
      </c>
      <c r="G30" s="21"/>
      <c r="H30" s="21"/>
      <c r="I30" s="21"/>
      <c r="J30" s="21"/>
      <c r="K30" s="21"/>
      <c r="L30" s="21"/>
      <c r="M30" s="27">
        <v>2791</v>
      </c>
      <c r="N30" s="75">
        <v>2791</v>
      </c>
      <c r="O30" s="99">
        <v>0</v>
      </c>
      <c r="P30" s="21"/>
      <c r="Q30" s="21"/>
      <c r="R30" s="21"/>
      <c r="S30" s="21">
        <v>0</v>
      </c>
      <c r="T30" s="30"/>
      <c r="U30" s="30"/>
    </row>
    <row r="31" spans="1:21" x14ac:dyDescent="0.2">
      <c r="A31" s="25">
        <v>2009</v>
      </c>
      <c r="B31" s="27">
        <v>5552</v>
      </c>
      <c r="C31" s="21"/>
      <c r="D31" s="72">
        <v>109</v>
      </c>
      <c r="E31" s="21"/>
      <c r="F31" s="72">
        <v>109</v>
      </c>
      <c r="G31" s="21"/>
      <c r="H31" s="21"/>
      <c r="I31" s="21"/>
      <c r="J31" s="21"/>
      <c r="K31" s="21"/>
      <c r="L31" s="21"/>
      <c r="M31" s="27">
        <v>5443</v>
      </c>
      <c r="N31" s="75">
        <v>5443</v>
      </c>
      <c r="O31" s="99">
        <v>0</v>
      </c>
      <c r="P31" s="21"/>
      <c r="Q31" s="21"/>
      <c r="R31" s="21"/>
      <c r="S31" s="21">
        <v>0</v>
      </c>
      <c r="T31" s="30"/>
      <c r="U31" s="30"/>
    </row>
    <row r="32" spans="1:21" x14ac:dyDescent="0.2">
      <c r="A32" s="25">
        <v>2010</v>
      </c>
      <c r="B32" s="27">
        <v>3347</v>
      </c>
      <c r="C32" s="21">
        <v>40</v>
      </c>
      <c r="D32" s="72">
        <v>0</v>
      </c>
      <c r="E32" s="21"/>
      <c r="F32" s="72">
        <v>0</v>
      </c>
      <c r="G32" s="21"/>
      <c r="H32" s="21"/>
      <c r="I32" s="21"/>
      <c r="J32" s="21"/>
      <c r="K32" s="21"/>
      <c r="L32" s="21"/>
      <c r="M32" s="27">
        <v>3387</v>
      </c>
      <c r="N32" s="75">
        <v>3084</v>
      </c>
      <c r="O32" s="99">
        <v>303</v>
      </c>
      <c r="P32" s="21"/>
      <c r="Q32" s="21"/>
      <c r="R32" s="21"/>
      <c r="S32" s="21">
        <v>0</v>
      </c>
      <c r="T32" s="30"/>
      <c r="U32" s="30"/>
    </row>
    <row r="33" spans="1:21" x14ac:dyDescent="0.2">
      <c r="A33" s="25">
        <v>2011</v>
      </c>
      <c r="B33" s="27">
        <v>3809</v>
      </c>
      <c r="C33" s="21">
        <v>0</v>
      </c>
      <c r="D33" s="72">
        <v>0</v>
      </c>
      <c r="E33" s="21"/>
      <c r="F33" s="72">
        <v>0</v>
      </c>
      <c r="G33" s="21"/>
      <c r="H33" s="21"/>
      <c r="I33" s="21"/>
      <c r="J33" s="21"/>
      <c r="K33" s="21"/>
      <c r="L33" s="21"/>
      <c r="M33" s="27">
        <v>3809</v>
      </c>
      <c r="N33" s="75">
        <v>3521</v>
      </c>
      <c r="O33" s="24">
        <v>288</v>
      </c>
      <c r="P33" s="21"/>
      <c r="Q33" s="21"/>
      <c r="R33" s="22"/>
      <c r="S33" s="21">
        <v>0</v>
      </c>
      <c r="T33" s="30"/>
      <c r="U33" s="30"/>
    </row>
    <row r="34" spans="1:21" x14ac:dyDescent="0.2">
      <c r="A34" s="25">
        <v>2012</v>
      </c>
      <c r="B34" s="27">
        <v>10015</v>
      </c>
      <c r="C34" s="21">
        <v>0</v>
      </c>
      <c r="D34" s="72">
        <v>0</v>
      </c>
      <c r="E34" s="21"/>
      <c r="F34" s="72">
        <v>0</v>
      </c>
      <c r="G34" s="21"/>
      <c r="H34" s="21"/>
      <c r="I34" s="21"/>
      <c r="J34" s="21"/>
      <c r="K34" s="21"/>
      <c r="L34" s="21"/>
      <c r="M34" s="27">
        <v>10015</v>
      </c>
      <c r="N34" s="75">
        <v>9522</v>
      </c>
      <c r="O34" s="24">
        <v>493</v>
      </c>
      <c r="P34" s="21"/>
      <c r="Q34" s="21"/>
      <c r="R34" s="22"/>
      <c r="S34" s="21">
        <v>0</v>
      </c>
      <c r="T34" s="30"/>
      <c r="U34" s="30"/>
    </row>
    <row r="35" spans="1:21" x14ac:dyDescent="0.2">
      <c r="A35" s="25">
        <v>2013</v>
      </c>
      <c r="B35" s="27">
        <v>4840</v>
      </c>
      <c r="C35" s="21">
        <v>0</v>
      </c>
      <c r="D35" s="72">
        <v>0</v>
      </c>
      <c r="E35" s="21"/>
      <c r="F35" s="72">
        <v>0</v>
      </c>
      <c r="G35" s="21"/>
      <c r="H35" s="21"/>
      <c r="I35" s="21"/>
      <c r="J35" s="21"/>
      <c r="K35" s="21"/>
      <c r="L35" s="21"/>
      <c r="M35" s="27">
        <v>4840</v>
      </c>
      <c r="N35" s="75">
        <v>4809</v>
      </c>
      <c r="O35" s="24">
        <v>31</v>
      </c>
      <c r="P35" s="21"/>
      <c r="Q35" s="21"/>
      <c r="R35" s="22"/>
      <c r="S35" s="21">
        <v>0</v>
      </c>
      <c r="T35" s="30"/>
      <c r="U35" s="30"/>
    </row>
    <row r="36" spans="1:21" x14ac:dyDescent="0.2">
      <c r="A36" s="25">
        <v>2014</v>
      </c>
      <c r="B36" s="27">
        <v>6607</v>
      </c>
      <c r="C36" s="21">
        <v>100</v>
      </c>
      <c r="D36" s="72">
        <v>0</v>
      </c>
      <c r="E36" s="21"/>
      <c r="F36" s="72">
        <v>0</v>
      </c>
      <c r="G36" s="21"/>
      <c r="H36" s="21"/>
      <c r="I36" s="21"/>
      <c r="J36" s="21"/>
      <c r="K36" s="21"/>
      <c r="L36" s="21"/>
      <c r="M36" s="27">
        <v>6707</v>
      </c>
      <c r="N36" s="75">
        <v>6707</v>
      </c>
      <c r="O36" s="99">
        <v>0</v>
      </c>
      <c r="P36" s="21"/>
      <c r="Q36" s="21"/>
      <c r="R36" s="22"/>
      <c r="S36" s="21">
        <v>0</v>
      </c>
      <c r="T36" s="30"/>
      <c r="U36" s="30"/>
    </row>
    <row r="37" spans="1:21" x14ac:dyDescent="0.2">
      <c r="A37" s="25">
        <v>2015</v>
      </c>
      <c r="B37" s="27">
        <v>13253</v>
      </c>
      <c r="C37" s="21">
        <v>0</v>
      </c>
      <c r="D37" s="72">
        <v>0</v>
      </c>
      <c r="E37" s="21"/>
      <c r="F37" s="72">
        <v>0</v>
      </c>
      <c r="G37" s="21"/>
      <c r="H37" s="21"/>
      <c r="I37" s="21"/>
      <c r="J37" s="21"/>
      <c r="K37" s="21"/>
      <c r="L37" s="21"/>
      <c r="M37" s="27">
        <v>13253</v>
      </c>
      <c r="N37" s="75">
        <v>13253</v>
      </c>
      <c r="O37" s="24"/>
      <c r="P37" s="21"/>
      <c r="Q37" s="21"/>
      <c r="R37" s="22"/>
      <c r="S37" s="21">
        <v>0</v>
      </c>
      <c r="T37" s="30"/>
      <c r="U37" s="30"/>
    </row>
    <row r="38" spans="1:21" x14ac:dyDescent="0.2">
      <c r="A38" s="25">
        <v>2016</v>
      </c>
      <c r="B38" s="27">
        <v>7771</v>
      </c>
      <c r="C38" s="21">
        <v>0</v>
      </c>
      <c r="D38" s="72">
        <v>177</v>
      </c>
      <c r="E38" s="21"/>
      <c r="F38" s="72">
        <v>177</v>
      </c>
      <c r="G38" s="21"/>
      <c r="H38" s="21"/>
      <c r="I38" s="21"/>
      <c r="J38" s="21"/>
      <c r="K38" s="21"/>
      <c r="L38" s="21"/>
      <c r="M38" s="27">
        <v>7594</v>
      </c>
      <c r="N38" s="75">
        <v>7594</v>
      </c>
      <c r="O38" s="24"/>
      <c r="P38" s="21"/>
      <c r="Q38" s="21"/>
      <c r="R38" s="22"/>
      <c r="S38" s="21">
        <v>0</v>
      </c>
      <c r="T38" s="30"/>
      <c r="U38" s="30"/>
    </row>
    <row r="39" spans="1:21" x14ac:dyDescent="0.2">
      <c r="A39" s="25">
        <v>2017</v>
      </c>
      <c r="B39" s="27">
        <v>6552</v>
      </c>
      <c r="C39" s="21">
        <v>0</v>
      </c>
      <c r="D39" s="72">
        <v>176</v>
      </c>
      <c r="E39" s="21"/>
      <c r="F39" s="72">
        <v>176</v>
      </c>
      <c r="G39" s="21"/>
      <c r="H39" s="21"/>
      <c r="I39" s="21"/>
      <c r="J39" s="21"/>
      <c r="K39" s="21"/>
      <c r="L39" s="21"/>
      <c r="M39" s="27">
        <v>6376</v>
      </c>
      <c r="N39" s="75">
        <v>6376</v>
      </c>
      <c r="O39" s="24"/>
      <c r="P39" s="21"/>
      <c r="Q39" s="21"/>
      <c r="R39" s="22"/>
      <c r="S39" s="21">
        <v>0</v>
      </c>
      <c r="T39" s="30"/>
      <c r="U39" s="30"/>
    </row>
    <row r="40" spans="1:21" x14ac:dyDescent="0.2">
      <c r="A40" s="25">
        <v>2018</v>
      </c>
      <c r="B40" s="27">
        <v>8249</v>
      </c>
      <c r="C40" s="21">
        <v>0</v>
      </c>
      <c r="D40" s="72">
        <v>0</v>
      </c>
      <c r="E40" s="21"/>
      <c r="F40" s="72">
        <v>0</v>
      </c>
      <c r="G40" s="21"/>
      <c r="H40" s="21"/>
      <c r="I40" s="21"/>
      <c r="J40" s="21"/>
      <c r="K40" s="21"/>
      <c r="L40" s="21"/>
      <c r="M40" s="27">
        <v>8249</v>
      </c>
      <c r="N40" s="75">
        <v>8249</v>
      </c>
      <c r="O40" s="24"/>
      <c r="P40" s="21"/>
      <c r="Q40" s="21"/>
      <c r="R40" s="22"/>
      <c r="S40" s="21">
        <v>0</v>
      </c>
      <c r="T40" s="30"/>
      <c r="U40" s="30"/>
    </row>
    <row r="41" spans="1:21" x14ac:dyDescent="0.2">
      <c r="A41" s="25">
        <v>2019</v>
      </c>
      <c r="B41" s="27">
        <v>6382</v>
      </c>
      <c r="C41" s="21">
        <v>0</v>
      </c>
      <c r="D41" s="72">
        <v>218</v>
      </c>
      <c r="E41" s="21"/>
      <c r="F41" s="72">
        <v>218</v>
      </c>
      <c r="G41" s="21"/>
      <c r="H41" s="21"/>
      <c r="I41" s="21">
        <v>24</v>
      </c>
      <c r="J41" s="21"/>
      <c r="K41" s="21"/>
      <c r="L41" s="21"/>
      <c r="M41" s="27">
        <v>6140</v>
      </c>
      <c r="N41" s="75">
        <v>6140</v>
      </c>
      <c r="O41" s="24"/>
      <c r="P41" s="22"/>
      <c r="Q41" s="21"/>
      <c r="R41" s="22"/>
      <c r="S41" s="21">
        <v>0</v>
      </c>
      <c r="T41" s="30"/>
      <c r="U41" s="30"/>
    </row>
    <row r="42" spans="1:21" x14ac:dyDescent="0.2">
      <c r="A42" s="25">
        <v>2020</v>
      </c>
      <c r="B42" s="27">
        <v>7670</v>
      </c>
      <c r="C42" s="21">
        <v>0</v>
      </c>
      <c r="D42" s="72">
        <v>334</v>
      </c>
      <c r="E42" s="21">
        <v>15</v>
      </c>
      <c r="F42" s="72">
        <v>349</v>
      </c>
      <c r="G42" s="21">
        <v>9</v>
      </c>
      <c r="H42" s="21">
        <v>0</v>
      </c>
      <c r="I42" s="21">
        <v>9</v>
      </c>
      <c r="J42" s="21">
        <v>315</v>
      </c>
      <c r="K42" s="21">
        <v>14</v>
      </c>
      <c r="L42" s="21">
        <v>329</v>
      </c>
      <c r="M42" s="27">
        <v>7312</v>
      </c>
      <c r="N42" s="75">
        <v>7001</v>
      </c>
      <c r="O42" s="24">
        <v>311</v>
      </c>
      <c r="P42" s="22"/>
      <c r="Q42" s="21"/>
      <c r="R42" s="22"/>
      <c r="S42" s="21">
        <v>0</v>
      </c>
      <c r="T42" s="30"/>
      <c r="U42" s="30"/>
    </row>
    <row r="43" spans="1:21" x14ac:dyDescent="0.2">
      <c r="A43" s="25">
        <v>2021</v>
      </c>
      <c r="B43" s="27">
        <v>19524</v>
      </c>
      <c r="C43" s="21">
        <v>50</v>
      </c>
      <c r="D43" s="72">
        <v>619</v>
      </c>
      <c r="E43" s="21">
        <v>23</v>
      </c>
      <c r="F43" s="72">
        <v>642</v>
      </c>
      <c r="G43" s="21"/>
      <c r="H43" s="21"/>
      <c r="I43" s="21">
        <v>19</v>
      </c>
      <c r="J43" s="21">
        <v>382</v>
      </c>
      <c r="K43" s="21">
        <v>14</v>
      </c>
      <c r="L43" s="21">
        <v>396</v>
      </c>
      <c r="M43" s="27">
        <v>18913</v>
      </c>
      <c r="N43" s="75">
        <v>18244</v>
      </c>
      <c r="O43" s="24">
        <v>669</v>
      </c>
      <c r="P43" s="22"/>
      <c r="Q43" s="21"/>
      <c r="R43" s="22"/>
      <c r="S43" s="21">
        <v>0</v>
      </c>
      <c r="T43" s="30"/>
      <c r="U43" s="30"/>
    </row>
    <row r="44" spans="1:21" x14ac:dyDescent="0.2">
      <c r="A44" s="25">
        <v>2022</v>
      </c>
      <c r="B44" s="27">
        <v>10547</v>
      </c>
      <c r="C44" s="21">
        <v>0</v>
      </c>
      <c r="D44" s="72">
        <v>637</v>
      </c>
      <c r="E44" s="21">
        <v>27</v>
      </c>
      <c r="F44" s="72">
        <v>664</v>
      </c>
      <c r="G44" s="21">
        <v>36</v>
      </c>
      <c r="H44" s="21">
        <v>1</v>
      </c>
      <c r="I44" s="21">
        <v>37</v>
      </c>
      <c r="J44" s="21">
        <v>384</v>
      </c>
      <c r="K44" s="21">
        <v>16</v>
      </c>
      <c r="L44" s="21">
        <v>400</v>
      </c>
      <c r="M44" s="27">
        <v>9846</v>
      </c>
      <c r="N44" s="75">
        <v>9452</v>
      </c>
      <c r="O44" s="24">
        <v>394</v>
      </c>
      <c r="P44" s="22"/>
      <c r="Q44" s="21"/>
      <c r="R44" s="22"/>
      <c r="S44" s="21">
        <v>0</v>
      </c>
      <c r="T44" s="30"/>
      <c r="U44" s="30"/>
    </row>
    <row r="45" spans="1:21" x14ac:dyDescent="0.2">
      <c r="A45" s="25">
        <v>2023</v>
      </c>
      <c r="B45" s="27">
        <v>6273</v>
      </c>
      <c r="C45" s="21">
        <v>0</v>
      </c>
      <c r="D45" s="72">
        <v>624</v>
      </c>
      <c r="E45" s="21">
        <v>6</v>
      </c>
      <c r="F45" s="72">
        <v>630</v>
      </c>
      <c r="G45" s="21">
        <v>84</v>
      </c>
      <c r="H45" s="21">
        <v>1</v>
      </c>
      <c r="I45" s="21">
        <v>85</v>
      </c>
      <c r="J45" s="21">
        <v>192</v>
      </c>
      <c r="K45" s="21">
        <v>2</v>
      </c>
      <c r="L45" s="21">
        <v>194</v>
      </c>
      <c r="M45" s="27">
        <v>5558</v>
      </c>
      <c r="N45" s="75">
        <v>5501</v>
      </c>
      <c r="O45" s="24">
        <v>57</v>
      </c>
      <c r="P45" s="22"/>
      <c r="Q45" s="21"/>
      <c r="R45" s="22"/>
      <c r="S45" s="21">
        <v>0</v>
      </c>
      <c r="T45" s="30"/>
      <c r="U45" s="30"/>
    </row>
    <row r="46" spans="1:21" x14ac:dyDescent="0.2">
      <c r="A46" s="23">
        <v>2024</v>
      </c>
      <c r="B46" s="70">
        <v>11789</v>
      </c>
      <c r="C46" s="71">
        <v>0</v>
      </c>
      <c r="D46" s="71">
        <v>655</v>
      </c>
      <c r="E46" s="71">
        <v>28</v>
      </c>
      <c r="F46" s="71">
        <v>683</v>
      </c>
      <c r="G46" s="71">
        <v>18</v>
      </c>
      <c r="H46" s="71">
        <v>1</v>
      </c>
      <c r="I46" s="71">
        <v>19</v>
      </c>
      <c r="J46" s="71">
        <v>190</v>
      </c>
      <c r="K46" s="71">
        <v>8</v>
      </c>
      <c r="L46" s="71">
        <v>198</v>
      </c>
      <c r="M46" s="70">
        <v>11087</v>
      </c>
      <c r="N46" s="70">
        <v>10639</v>
      </c>
      <c r="O46" s="101">
        <v>448</v>
      </c>
      <c r="P46" s="21"/>
      <c r="Q46" s="21"/>
      <c r="R46" s="21"/>
      <c r="S46" s="21">
        <v>0</v>
      </c>
      <c r="T46" s="30"/>
      <c r="U46" s="30"/>
    </row>
    <row r="47" spans="1:21" x14ac:dyDescent="0.2">
      <c r="A47" s="211" t="s">
        <v>24</v>
      </c>
      <c r="B47" s="21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30"/>
    </row>
    <row r="48" spans="1:21" x14ac:dyDescent="0.2">
      <c r="A48" s="25" t="s">
        <v>311</v>
      </c>
      <c r="B48" s="75">
        <v>11034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5">
        <v>10735</v>
      </c>
      <c r="N48" s="75">
        <v>10622</v>
      </c>
      <c r="O48" s="72"/>
      <c r="P48" s="21"/>
      <c r="Q48" s="21"/>
      <c r="R48" s="21"/>
      <c r="S48" s="21"/>
      <c r="T48" s="21"/>
      <c r="U48" s="30"/>
    </row>
    <row r="49" spans="1:21" x14ac:dyDescent="0.2">
      <c r="A49" s="23" t="s">
        <v>302</v>
      </c>
      <c r="B49" s="70">
        <v>9283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0">
        <v>8995</v>
      </c>
      <c r="N49" s="70">
        <v>8852</v>
      </c>
      <c r="O49" s="71"/>
      <c r="P49" s="21"/>
      <c r="Q49" s="21"/>
      <c r="R49" s="21"/>
      <c r="S49" s="21"/>
      <c r="T49" s="30"/>
      <c r="U49" s="30"/>
    </row>
    <row r="50" spans="1:21" x14ac:dyDescent="0.2">
      <c r="A50" s="213"/>
      <c r="B50" s="213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30"/>
      <c r="O50" s="30"/>
      <c r="P50" s="30"/>
      <c r="Q50" s="30"/>
      <c r="R50" s="30"/>
      <c r="S50" s="30"/>
      <c r="T50" s="30"/>
      <c r="U50" s="30"/>
    </row>
  </sheetData>
  <mergeCells count="7">
    <mergeCell ref="T3:U3"/>
    <mergeCell ref="A47:B47"/>
    <mergeCell ref="A50:B50"/>
    <mergeCell ref="D3:F3"/>
    <mergeCell ref="G3:I3"/>
    <mergeCell ref="J3:L3"/>
    <mergeCell ref="M3:O3"/>
  </mergeCell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"/>
  <sheetViews>
    <sheetView workbookViewId="0">
      <selection activeCell="D31" sqref="D31"/>
    </sheetView>
  </sheetViews>
  <sheetFormatPr baseColWidth="10" defaultColWidth="8.83203125" defaultRowHeight="15" x14ac:dyDescent="0.2"/>
  <cols>
    <col min="3" max="3" width="15" customWidth="1"/>
    <col min="4" max="4" width="13.5" customWidth="1"/>
  </cols>
  <sheetData>
    <row r="1" spans="1:8" x14ac:dyDescent="0.2">
      <c r="A1" s="73" t="s">
        <v>252</v>
      </c>
      <c r="B1" s="73"/>
      <c r="C1" s="19"/>
      <c r="D1" s="19"/>
      <c r="E1" s="19"/>
      <c r="F1" s="19"/>
      <c r="G1" s="19"/>
      <c r="H1" s="21"/>
    </row>
    <row r="2" spans="1:8" x14ac:dyDescent="0.2">
      <c r="A2" s="81" t="s">
        <v>310</v>
      </c>
      <c r="B2" s="81"/>
      <c r="C2" s="19"/>
      <c r="D2" s="19"/>
      <c r="E2" s="19"/>
      <c r="F2" s="21"/>
      <c r="G2" s="21"/>
      <c r="H2" s="21"/>
    </row>
    <row r="3" spans="1:8" ht="17" x14ac:dyDescent="0.3">
      <c r="A3" s="21"/>
      <c r="B3" s="22"/>
      <c r="C3" s="22"/>
      <c r="D3" s="21"/>
      <c r="E3" s="210" t="s">
        <v>13</v>
      </c>
      <c r="F3" s="210"/>
      <c r="G3" s="210"/>
      <c r="H3" s="21"/>
    </row>
    <row r="4" spans="1:8" x14ac:dyDescent="0.2">
      <c r="A4" s="19" t="s">
        <v>10</v>
      </c>
      <c r="B4" s="73" t="s">
        <v>26</v>
      </c>
      <c r="C4" s="73" t="s">
        <v>253</v>
      </c>
      <c r="D4" s="19" t="s">
        <v>27</v>
      </c>
      <c r="E4" s="19" t="s">
        <v>33</v>
      </c>
      <c r="F4" s="19" t="s">
        <v>143</v>
      </c>
      <c r="G4" s="19" t="s">
        <v>144</v>
      </c>
      <c r="H4" s="21"/>
    </row>
    <row r="5" spans="1:8" x14ac:dyDescent="0.2">
      <c r="A5" s="21">
        <v>2004</v>
      </c>
      <c r="B5" s="27">
        <v>5005</v>
      </c>
      <c r="C5" s="21"/>
      <c r="D5" s="21"/>
      <c r="E5" s="75">
        <v>5005</v>
      </c>
      <c r="F5" s="75">
        <v>5005</v>
      </c>
      <c r="G5" s="21"/>
      <c r="H5" s="21"/>
    </row>
    <row r="6" spans="1:8" x14ac:dyDescent="0.2">
      <c r="A6" s="21">
        <v>2005</v>
      </c>
      <c r="B6" s="27">
        <v>1046</v>
      </c>
      <c r="C6" s="21"/>
      <c r="D6" s="21"/>
      <c r="E6" s="75">
        <v>1046</v>
      </c>
      <c r="F6" s="75">
        <v>1046</v>
      </c>
      <c r="G6" s="21"/>
      <c r="H6" s="21"/>
    </row>
    <row r="7" spans="1:8" x14ac:dyDescent="0.2">
      <c r="A7" s="21">
        <v>2006</v>
      </c>
      <c r="B7" s="27">
        <v>2177</v>
      </c>
      <c r="C7" s="21"/>
      <c r="D7" s="21"/>
      <c r="E7" s="75">
        <v>2177</v>
      </c>
      <c r="F7" s="75">
        <v>2177</v>
      </c>
      <c r="G7" s="21"/>
      <c r="H7" s="21"/>
    </row>
    <row r="8" spans="1:8" x14ac:dyDescent="0.2">
      <c r="A8" s="21">
        <v>2007</v>
      </c>
      <c r="B8" s="21">
        <v>5</v>
      </c>
      <c r="C8" s="21"/>
      <c r="D8" s="21"/>
      <c r="E8" s="72">
        <v>5</v>
      </c>
      <c r="F8" s="72">
        <v>5</v>
      </c>
      <c r="G8" s="21"/>
      <c r="H8" s="21"/>
    </row>
    <row r="9" spans="1:8" x14ac:dyDescent="0.2">
      <c r="A9" s="21">
        <v>2008</v>
      </c>
      <c r="B9" s="21">
        <v>888</v>
      </c>
      <c r="C9" s="21"/>
      <c r="D9" s="21"/>
      <c r="E9" s="72">
        <v>888</v>
      </c>
      <c r="F9" s="72">
        <v>888</v>
      </c>
      <c r="G9" s="21"/>
      <c r="H9" s="21"/>
    </row>
    <row r="10" spans="1:8" x14ac:dyDescent="0.2">
      <c r="A10" s="21">
        <v>2009</v>
      </c>
      <c r="B10" s="27">
        <v>1100</v>
      </c>
      <c r="C10" s="21"/>
      <c r="D10" s="21"/>
      <c r="E10" s="75">
        <v>1100</v>
      </c>
      <c r="F10" s="75">
        <v>1100</v>
      </c>
      <c r="G10" s="21"/>
      <c r="H10" s="21"/>
    </row>
    <row r="11" spans="1:8" x14ac:dyDescent="0.2">
      <c r="A11" s="21">
        <v>2010</v>
      </c>
      <c r="B11" s="27">
        <v>2977</v>
      </c>
      <c r="C11" s="21"/>
      <c r="D11" s="21"/>
      <c r="E11" s="75">
        <v>2977</v>
      </c>
      <c r="F11" s="75">
        <v>2977</v>
      </c>
      <c r="G11" s="21"/>
      <c r="H11" s="21"/>
    </row>
    <row r="12" spans="1:8" x14ac:dyDescent="0.2">
      <c r="A12" s="21">
        <v>2011</v>
      </c>
      <c r="B12" s="27">
        <v>2899</v>
      </c>
      <c r="C12" s="21"/>
      <c r="D12" s="21"/>
      <c r="E12" s="75">
        <v>2899</v>
      </c>
      <c r="F12" s="75">
        <v>2899</v>
      </c>
      <c r="G12" s="21"/>
      <c r="H12" s="21"/>
    </row>
    <row r="13" spans="1:8" x14ac:dyDescent="0.2">
      <c r="A13" s="21">
        <v>2012</v>
      </c>
      <c r="B13" s="27">
        <v>6913</v>
      </c>
      <c r="C13" s="21"/>
      <c r="D13" s="21">
        <v>150</v>
      </c>
      <c r="E13" s="75">
        <v>6763</v>
      </c>
      <c r="F13" s="75">
        <v>6763</v>
      </c>
      <c r="G13" s="21"/>
      <c r="H13" s="21"/>
    </row>
    <row r="14" spans="1:8" x14ac:dyDescent="0.2">
      <c r="A14" s="21">
        <v>2013</v>
      </c>
      <c r="B14" s="21">
        <v>470</v>
      </c>
      <c r="C14" s="21"/>
      <c r="D14" s="21"/>
      <c r="E14" s="72">
        <v>470</v>
      </c>
      <c r="F14" s="72">
        <v>470</v>
      </c>
      <c r="G14" s="21"/>
      <c r="H14" s="21"/>
    </row>
    <row r="15" spans="1:8" x14ac:dyDescent="0.2">
      <c r="A15" s="21">
        <v>2014</v>
      </c>
      <c r="B15" s="27">
        <v>1061</v>
      </c>
      <c r="C15" s="21"/>
      <c r="D15" s="21">
        <v>151</v>
      </c>
      <c r="E15" s="72">
        <v>910</v>
      </c>
      <c r="F15" s="72">
        <v>910</v>
      </c>
      <c r="G15" s="21"/>
      <c r="H15" s="21"/>
    </row>
    <row r="16" spans="1:8" x14ac:dyDescent="0.2">
      <c r="A16" s="21">
        <v>2015</v>
      </c>
      <c r="B16" s="27">
        <v>1683</v>
      </c>
      <c r="C16" s="21"/>
      <c r="D16" s="21"/>
      <c r="E16" s="75">
        <v>1683</v>
      </c>
      <c r="F16" s="75">
        <v>1683</v>
      </c>
      <c r="G16" s="21"/>
      <c r="H16" s="21"/>
    </row>
    <row r="17" spans="1:8" x14ac:dyDescent="0.2">
      <c r="A17" s="21">
        <v>2016</v>
      </c>
      <c r="B17" s="27">
        <v>6404</v>
      </c>
      <c r="C17" s="21"/>
      <c r="D17" s="21"/>
      <c r="E17" s="75">
        <v>6404</v>
      </c>
      <c r="F17" s="75">
        <v>3378</v>
      </c>
      <c r="G17" s="75">
        <v>3026</v>
      </c>
      <c r="H17" s="21"/>
    </row>
    <row r="18" spans="1:8" x14ac:dyDescent="0.2">
      <c r="A18" s="21">
        <v>2017</v>
      </c>
      <c r="B18" s="21">
        <v>439</v>
      </c>
      <c r="C18" s="21"/>
      <c r="D18" s="21"/>
      <c r="E18" s="72">
        <v>439</v>
      </c>
      <c r="F18" s="96">
        <v>439</v>
      </c>
      <c r="G18" s="21"/>
      <c r="H18" s="21"/>
    </row>
    <row r="19" spans="1:8" x14ac:dyDescent="0.2">
      <c r="A19" s="21">
        <v>2018</v>
      </c>
      <c r="B19" s="27">
        <v>3375</v>
      </c>
      <c r="C19" s="21"/>
      <c r="D19" s="21"/>
      <c r="E19" s="75">
        <v>3375</v>
      </c>
      <c r="F19" s="97">
        <v>2471</v>
      </c>
      <c r="G19" s="21">
        <v>904</v>
      </c>
      <c r="H19" s="21"/>
    </row>
    <row r="20" spans="1:8" x14ac:dyDescent="0.2">
      <c r="A20" s="21">
        <v>2019</v>
      </c>
      <c r="B20" s="27">
        <v>4294</v>
      </c>
      <c r="C20" s="21"/>
      <c r="D20" s="21"/>
      <c r="E20" s="75">
        <v>4294</v>
      </c>
      <c r="F20" s="97">
        <v>4294</v>
      </c>
      <c r="G20" s="21"/>
      <c r="H20" s="21"/>
    </row>
    <row r="21" spans="1:8" x14ac:dyDescent="0.2">
      <c r="A21" s="21">
        <v>2020</v>
      </c>
      <c r="B21" s="27">
        <v>17333</v>
      </c>
      <c r="C21" s="21">
        <v>3</v>
      </c>
      <c r="D21" s="78"/>
      <c r="E21" s="75">
        <v>17330</v>
      </c>
      <c r="F21" s="75">
        <v>17330</v>
      </c>
      <c r="G21" s="21"/>
      <c r="H21" s="21"/>
    </row>
    <row r="22" spans="1:8" x14ac:dyDescent="0.2">
      <c r="A22" s="21">
        <v>2021</v>
      </c>
      <c r="B22" s="27">
        <v>6839</v>
      </c>
      <c r="C22" s="21"/>
      <c r="D22" s="78"/>
      <c r="E22" s="75">
        <v>6839</v>
      </c>
      <c r="F22" s="75">
        <v>6839</v>
      </c>
      <c r="G22" s="21"/>
      <c r="H22" s="21"/>
    </row>
    <row r="23" spans="1:8" x14ac:dyDescent="0.2">
      <c r="A23" s="21">
        <v>2022</v>
      </c>
      <c r="B23" s="27">
        <v>9385</v>
      </c>
      <c r="C23" s="21">
        <v>0</v>
      </c>
      <c r="D23" s="78">
        <v>0</v>
      </c>
      <c r="E23" s="75">
        <v>9385</v>
      </c>
      <c r="F23" s="75">
        <v>9385</v>
      </c>
      <c r="G23" s="21"/>
      <c r="H23" s="21"/>
    </row>
    <row r="24" spans="1:8" x14ac:dyDescent="0.2">
      <c r="A24" s="21">
        <v>2023</v>
      </c>
      <c r="B24" s="27">
        <v>2893</v>
      </c>
      <c r="C24" s="21"/>
      <c r="D24" s="78"/>
      <c r="E24" s="75">
        <v>2893</v>
      </c>
      <c r="F24" s="75">
        <v>2893</v>
      </c>
      <c r="G24" s="21"/>
      <c r="H24" s="21"/>
    </row>
    <row r="25" spans="1:8" x14ac:dyDescent="0.2">
      <c r="A25" s="19">
        <v>2024</v>
      </c>
      <c r="B25" s="28">
        <v>4478</v>
      </c>
      <c r="C25" s="19">
        <v>0</v>
      </c>
      <c r="D25" s="19">
        <v>0</v>
      </c>
      <c r="E25" s="70">
        <v>4478</v>
      </c>
      <c r="F25" s="70">
        <v>4478</v>
      </c>
      <c r="G25" s="19">
        <v>0</v>
      </c>
      <c r="H25" s="21"/>
    </row>
  </sheetData>
  <mergeCells count="1">
    <mergeCell ref="E3:G3"/>
  </mergeCell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0"/>
  <sheetViews>
    <sheetView workbookViewId="0">
      <selection activeCell="J7" sqref="J7"/>
    </sheetView>
  </sheetViews>
  <sheetFormatPr baseColWidth="10" defaultColWidth="8.83203125" defaultRowHeight="15" x14ac:dyDescent="0.2"/>
  <sheetData>
    <row r="1" spans="1:11" x14ac:dyDescent="0.2">
      <c r="A1" s="73" t="s">
        <v>254</v>
      </c>
      <c r="B1" s="73"/>
      <c r="C1" s="19"/>
      <c r="D1" s="19"/>
      <c r="E1" s="19"/>
      <c r="F1" s="19"/>
      <c r="G1" s="19"/>
      <c r="H1" s="23"/>
      <c r="I1" s="20"/>
      <c r="J1" s="20"/>
      <c r="K1" s="20"/>
    </row>
    <row r="2" spans="1:11" x14ac:dyDescent="0.2">
      <c r="A2" s="95" t="s">
        <v>145</v>
      </c>
      <c r="B2" s="95"/>
      <c r="C2" s="21"/>
      <c r="D2" s="21"/>
      <c r="E2" s="21"/>
      <c r="F2" s="21"/>
      <c r="G2" s="21"/>
      <c r="H2" s="21"/>
      <c r="I2" s="30"/>
      <c r="J2" s="30"/>
      <c r="K2" s="30"/>
    </row>
    <row r="3" spans="1:11" x14ac:dyDescent="0.2">
      <c r="A3" s="73" t="s">
        <v>146</v>
      </c>
      <c r="B3" s="73"/>
      <c r="C3" s="19"/>
      <c r="D3" s="19"/>
      <c r="E3" s="19"/>
      <c r="F3" s="19"/>
      <c r="G3" s="19"/>
      <c r="H3" s="19"/>
      <c r="I3" s="20"/>
      <c r="J3" s="20"/>
      <c r="K3" s="20"/>
    </row>
    <row r="4" spans="1:11" ht="17" x14ac:dyDescent="0.3">
      <c r="A4" s="25"/>
      <c r="B4" s="193" t="s">
        <v>112</v>
      </c>
      <c r="C4" s="193"/>
      <c r="D4" s="193"/>
      <c r="E4" s="193"/>
      <c r="F4" s="21"/>
      <c r="G4" s="21"/>
      <c r="H4" s="21"/>
      <c r="I4" s="21"/>
      <c r="J4" s="21"/>
      <c r="K4" s="21" t="s">
        <v>33</v>
      </c>
    </row>
    <row r="5" spans="1:11" x14ac:dyDescent="0.2">
      <c r="A5" s="214"/>
      <c r="B5" s="214"/>
      <c r="C5" s="38"/>
      <c r="D5" s="209" t="s">
        <v>308</v>
      </c>
      <c r="E5" s="209"/>
      <c r="F5" s="21" t="s">
        <v>3</v>
      </c>
      <c r="G5" s="21" t="s">
        <v>99</v>
      </c>
      <c r="H5" s="21"/>
      <c r="I5" s="21" t="s">
        <v>4</v>
      </c>
      <c r="J5" s="21" t="s">
        <v>5</v>
      </c>
      <c r="K5" s="21" t="s">
        <v>64</v>
      </c>
    </row>
    <row r="6" spans="1:11" x14ac:dyDescent="0.2">
      <c r="A6" s="23" t="s">
        <v>10</v>
      </c>
      <c r="B6" s="41" t="s">
        <v>120</v>
      </c>
      <c r="C6" s="41" t="s">
        <v>149</v>
      </c>
      <c r="D6" s="41" t="s">
        <v>117</v>
      </c>
      <c r="E6" s="41" t="s">
        <v>118</v>
      </c>
      <c r="F6" s="19" t="s">
        <v>12</v>
      </c>
      <c r="G6" s="19" t="s">
        <v>150</v>
      </c>
      <c r="H6" s="19" t="s">
        <v>13</v>
      </c>
      <c r="I6" s="19" t="s">
        <v>64</v>
      </c>
      <c r="J6" s="19" t="s">
        <v>151</v>
      </c>
      <c r="K6" s="19" t="s">
        <v>152</v>
      </c>
    </row>
    <row r="7" spans="1:11" x14ac:dyDescent="0.2">
      <c r="A7" s="25">
        <v>1984</v>
      </c>
      <c r="B7" s="27">
        <v>94591</v>
      </c>
      <c r="C7" s="26">
        <v>45825</v>
      </c>
      <c r="D7" s="27">
        <v>77295</v>
      </c>
      <c r="E7" s="27">
        <v>111359</v>
      </c>
      <c r="F7" s="75">
        <v>27292</v>
      </c>
      <c r="G7" s="72">
        <v>0</v>
      </c>
      <c r="H7" s="75">
        <v>67299</v>
      </c>
      <c r="I7" s="75">
        <v>57619</v>
      </c>
      <c r="J7" s="75">
        <v>152210</v>
      </c>
      <c r="K7" s="90">
        <v>0.56000000000000005</v>
      </c>
    </row>
    <row r="8" spans="1:11" x14ac:dyDescent="0.2">
      <c r="A8" s="25">
        <v>1985</v>
      </c>
      <c r="B8" s="27">
        <v>90526</v>
      </c>
      <c r="C8" s="26">
        <v>45824</v>
      </c>
      <c r="D8" s="27">
        <v>73468</v>
      </c>
      <c r="E8" s="27">
        <v>107078</v>
      </c>
      <c r="F8" s="75">
        <v>14411</v>
      </c>
      <c r="G8" s="72">
        <v>0</v>
      </c>
      <c r="H8" s="75">
        <v>76115</v>
      </c>
      <c r="I8" s="75">
        <v>74287</v>
      </c>
      <c r="J8" s="75">
        <v>164813</v>
      </c>
      <c r="K8" s="90">
        <v>0.54</v>
      </c>
    </row>
    <row r="9" spans="1:11" x14ac:dyDescent="0.2">
      <c r="A9" s="25">
        <v>1986</v>
      </c>
      <c r="B9" s="27">
        <v>85960</v>
      </c>
      <c r="C9" s="26">
        <v>45830</v>
      </c>
      <c r="D9" s="27">
        <v>115045</v>
      </c>
      <c r="E9" s="27">
        <v>115045</v>
      </c>
      <c r="F9" s="75">
        <v>14939</v>
      </c>
      <c r="G9" s="72">
        <v>0</v>
      </c>
      <c r="H9" s="75">
        <v>71021</v>
      </c>
      <c r="I9" s="75">
        <v>60644</v>
      </c>
      <c r="J9" s="75">
        <v>146604</v>
      </c>
      <c r="K9" s="90">
        <v>0.52</v>
      </c>
    </row>
    <row r="10" spans="1:11" x14ac:dyDescent="0.2">
      <c r="A10" s="25">
        <v>1987</v>
      </c>
      <c r="B10" s="27">
        <v>60396</v>
      </c>
      <c r="C10" s="26">
        <v>45829</v>
      </c>
      <c r="D10" s="27">
        <v>49670</v>
      </c>
      <c r="E10" s="27">
        <v>70784</v>
      </c>
      <c r="F10" s="75">
        <v>13887</v>
      </c>
      <c r="G10" s="72">
        <v>0</v>
      </c>
      <c r="H10" s="75">
        <v>46509</v>
      </c>
      <c r="I10" s="75">
        <v>54963</v>
      </c>
      <c r="J10" s="75">
        <v>115359</v>
      </c>
      <c r="K10" s="90">
        <v>0.6</v>
      </c>
    </row>
    <row r="11" spans="1:11" x14ac:dyDescent="0.2">
      <c r="A11" s="25">
        <v>1988</v>
      </c>
      <c r="B11" s="27">
        <v>59558</v>
      </c>
      <c r="C11" s="26">
        <v>45827</v>
      </c>
      <c r="D11" s="27">
        <v>48678</v>
      </c>
      <c r="E11" s="27">
        <v>70106</v>
      </c>
      <c r="F11" s="75">
        <v>12967</v>
      </c>
      <c r="G11" s="72">
        <v>0</v>
      </c>
      <c r="H11" s="75">
        <v>46591</v>
      </c>
      <c r="I11" s="75">
        <v>25785</v>
      </c>
      <c r="J11" s="75">
        <v>85344</v>
      </c>
      <c r="K11" s="90">
        <v>0.45</v>
      </c>
    </row>
    <row r="12" spans="1:11" x14ac:dyDescent="0.2">
      <c r="A12" s="25">
        <v>1989</v>
      </c>
      <c r="B12" s="27">
        <v>86795</v>
      </c>
      <c r="C12" s="26">
        <v>45826</v>
      </c>
      <c r="D12" s="27">
        <v>71645</v>
      </c>
      <c r="E12" s="27">
        <v>101460</v>
      </c>
      <c r="F12" s="75">
        <v>18805</v>
      </c>
      <c r="G12" s="72">
        <v>0</v>
      </c>
      <c r="H12" s="75">
        <v>67990</v>
      </c>
      <c r="I12" s="75">
        <v>63366</v>
      </c>
      <c r="J12" s="75">
        <v>150161</v>
      </c>
      <c r="K12" s="90">
        <v>0.55000000000000004</v>
      </c>
    </row>
    <row r="13" spans="1:11" x14ac:dyDescent="0.2">
      <c r="A13" s="25">
        <v>1990</v>
      </c>
      <c r="B13" s="27">
        <v>81226</v>
      </c>
      <c r="C13" s="26">
        <v>45818</v>
      </c>
      <c r="D13" s="27">
        <v>67317</v>
      </c>
      <c r="E13" s="27">
        <v>94682</v>
      </c>
      <c r="F13" s="75">
        <v>21474</v>
      </c>
      <c r="G13" s="75">
        <v>1666</v>
      </c>
      <c r="H13" s="75">
        <v>58086</v>
      </c>
      <c r="I13" s="75">
        <v>109285</v>
      </c>
      <c r="J13" s="75">
        <v>190512</v>
      </c>
      <c r="K13" s="90">
        <v>0.7</v>
      </c>
    </row>
    <row r="14" spans="1:11" x14ac:dyDescent="0.2">
      <c r="A14" s="25">
        <v>1991</v>
      </c>
      <c r="B14" s="27">
        <v>112403</v>
      </c>
      <c r="C14" s="26">
        <v>45817</v>
      </c>
      <c r="D14" s="27">
        <v>92687</v>
      </c>
      <c r="E14" s="27">
        <v>131491</v>
      </c>
      <c r="F14" s="75">
        <v>25380</v>
      </c>
      <c r="G14" s="75">
        <v>1941</v>
      </c>
      <c r="H14" s="75">
        <v>85082</v>
      </c>
      <c r="I14" s="75">
        <v>105271</v>
      </c>
      <c r="J14" s="75">
        <v>217674</v>
      </c>
      <c r="K14" s="90">
        <v>0.61</v>
      </c>
    </row>
    <row r="15" spans="1:11" x14ac:dyDescent="0.2">
      <c r="A15" s="25">
        <v>1992</v>
      </c>
      <c r="B15" s="27">
        <v>106775</v>
      </c>
      <c r="C15" s="26">
        <v>45829</v>
      </c>
      <c r="D15" s="27">
        <v>88597</v>
      </c>
      <c r="E15" s="27">
        <v>124355</v>
      </c>
      <c r="F15" s="75">
        <v>29862</v>
      </c>
      <c r="G15" s="75">
        <v>1640</v>
      </c>
      <c r="H15" s="75">
        <v>75273</v>
      </c>
      <c r="I15" s="75">
        <v>121176</v>
      </c>
      <c r="J15" s="75">
        <v>227950</v>
      </c>
      <c r="K15" s="90">
        <v>0.67</v>
      </c>
    </row>
    <row r="16" spans="1:11" x14ac:dyDescent="0.2">
      <c r="A16" s="25">
        <v>1993</v>
      </c>
      <c r="B16" s="27">
        <v>99585</v>
      </c>
      <c r="C16" s="26">
        <v>45821</v>
      </c>
      <c r="D16" s="27">
        <v>82939</v>
      </c>
      <c r="E16" s="27">
        <v>115675</v>
      </c>
      <c r="F16" s="75">
        <v>33523</v>
      </c>
      <c r="G16" s="72">
        <v>747</v>
      </c>
      <c r="H16" s="75">
        <v>65315</v>
      </c>
      <c r="I16" s="75">
        <v>142089</v>
      </c>
      <c r="J16" s="75">
        <v>241673</v>
      </c>
      <c r="K16" s="90">
        <v>0.73</v>
      </c>
    </row>
    <row r="17" spans="1:11" x14ac:dyDescent="0.2">
      <c r="A17" s="25">
        <v>1994</v>
      </c>
      <c r="B17" s="27">
        <v>96579</v>
      </c>
      <c r="C17" s="26">
        <v>45820</v>
      </c>
      <c r="D17" s="27">
        <v>80176</v>
      </c>
      <c r="E17" s="27">
        <v>112443</v>
      </c>
      <c r="F17" s="75">
        <v>29001</v>
      </c>
      <c r="G17" s="72">
        <v>747</v>
      </c>
      <c r="H17" s="75">
        <v>66831</v>
      </c>
      <c r="I17" s="75">
        <v>98063</v>
      </c>
      <c r="J17" s="75">
        <v>194642</v>
      </c>
      <c r="K17" s="90">
        <v>0.66</v>
      </c>
    </row>
    <row r="18" spans="1:11" x14ac:dyDescent="0.2">
      <c r="A18" s="25">
        <v>1995</v>
      </c>
      <c r="B18" s="27">
        <v>111703</v>
      </c>
      <c r="C18" s="26">
        <v>45819</v>
      </c>
      <c r="D18" s="27">
        <v>92709</v>
      </c>
      <c r="E18" s="27">
        <v>130073</v>
      </c>
      <c r="F18" s="75">
        <v>32711</v>
      </c>
      <c r="G18" s="75">
        <v>1393</v>
      </c>
      <c r="H18" s="75">
        <v>77599</v>
      </c>
      <c r="I18" s="75">
        <v>91984</v>
      </c>
      <c r="J18" s="75">
        <v>203687</v>
      </c>
      <c r="K18" s="90">
        <v>0.62</v>
      </c>
    </row>
    <row r="19" spans="1:11" x14ac:dyDescent="0.2">
      <c r="A19" s="25">
        <v>1996</v>
      </c>
      <c r="B19" s="27">
        <v>104454</v>
      </c>
      <c r="C19" s="26">
        <v>45817</v>
      </c>
      <c r="D19" s="27">
        <v>86936</v>
      </c>
      <c r="E19" s="27">
        <v>121389</v>
      </c>
      <c r="F19" s="75">
        <v>42025</v>
      </c>
      <c r="G19" s="75">
        <v>2355</v>
      </c>
      <c r="H19" s="75">
        <v>60074</v>
      </c>
      <c r="I19" s="75">
        <v>187727</v>
      </c>
      <c r="J19" s="75">
        <v>292182</v>
      </c>
      <c r="K19" s="90">
        <v>0.79</v>
      </c>
    </row>
    <row r="20" spans="1:11" x14ac:dyDescent="0.2">
      <c r="A20" s="25">
        <v>1997</v>
      </c>
      <c r="B20" s="27">
        <v>78498</v>
      </c>
      <c r="C20" s="26">
        <v>45780</v>
      </c>
      <c r="D20" s="27">
        <v>65151</v>
      </c>
      <c r="E20" s="27">
        <v>91407</v>
      </c>
      <c r="F20" s="75">
        <v>24352</v>
      </c>
      <c r="G20" s="75">
        <v>2382</v>
      </c>
      <c r="H20" s="75">
        <v>51764</v>
      </c>
      <c r="I20" s="75">
        <v>79127</v>
      </c>
      <c r="J20" s="75">
        <v>157625</v>
      </c>
      <c r="K20" s="90">
        <v>0.67</v>
      </c>
    </row>
    <row r="21" spans="1:11" x14ac:dyDescent="0.2">
      <c r="A21" s="25">
        <v>1998</v>
      </c>
      <c r="B21" s="27">
        <v>69390</v>
      </c>
      <c r="C21" s="26">
        <v>45779</v>
      </c>
      <c r="D21" s="27">
        <v>57301</v>
      </c>
      <c r="E21" s="27">
        <v>81092</v>
      </c>
      <c r="F21" s="75">
        <v>19277</v>
      </c>
      <c r="G21" s="75">
        <v>1262</v>
      </c>
      <c r="H21" s="75">
        <v>48851</v>
      </c>
      <c r="I21" s="75">
        <v>49832</v>
      </c>
      <c r="J21" s="75">
        <v>119222</v>
      </c>
      <c r="K21" s="90">
        <v>0.59</v>
      </c>
    </row>
    <row r="22" spans="1:11" x14ac:dyDescent="0.2">
      <c r="A22" s="25">
        <v>1999</v>
      </c>
      <c r="B22" s="27">
        <v>89570</v>
      </c>
      <c r="C22" s="26">
        <v>45791</v>
      </c>
      <c r="D22" s="27">
        <v>73863</v>
      </c>
      <c r="E22" s="27">
        <v>104777</v>
      </c>
      <c r="F22" s="75">
        <v>21151</v>
      </c>
      <c r="G22" s="72">
        <v>216</v>
      </c>
      <c r="H22" s="75">
        <v>68203</v>
      </c>
      <c r="I22" s="75">
        <v>63058</v>
      </c>
      <c r="J22" s="75">
        <v>152629</v>
      </c>
      <c r="K22" s="90">
        <v>0.55000000000000004</v>
      </c>
    </row>
    <row r="23" spans="1:11" x14ac:dyDescent="0.2">
      <c r="A23" s="25">
        <v>2000</v>
      </c>
      <c r="B23" s="27">
        <v>89144</v>
      </c>
      <c r="C23" s="26">
        <v>45791</v>
      </c>
      <c r="D23" s="27">
        <v>74031</v>
      </c>
      <c r="E23" s="27">
        <v>103760</v>
      </c>
      <c r="F23" s="75">
        <v>28468</v>
      </c>
      <c r="G23" s="75">
        <v>2005</v>
      </c>
      <c r="H23" s="75">
        <v>58671</v>
      </c>
      <c r="I23" s="75">
        <v>131262</v>
      </c>
      <c r="J23" s="75">
        <v>220406</v>
      </c>
      <c r="K23" s="90">
        <v>0.73</v>
      </c>
    </row>
    <row r="24" spans="1:11" x14ac:dyDescent="0.2">
      <c r="A24" s="25">
        <v>2001</v>
      </c>
      <c r="B24" s="27">
        <v>141986</v>
      </c>
      <c r="C24" s="26">
        <v>45804</v>
      </c>
      <c r="D24" s="27">
        <v>117972</v>
      </c>
      <c r="E24" s="27">
        <v>165207</v>
      </c>
      <c r="F24" s="75">
        <v>48117</v>
      </c>
      <c r="G24" s="75">
        <v>2996</v>
      </c>
      <c r="H24" s="75">
        <v>90873</v>
      </c>
      <c r="I24" s="75">
        <v>204433</v>
      </c>
      <c r="J24" s="75">
        <v>346419</v>
      </c>
      <c r="K24" s="90">
        <v>0.74</v>
      </c>
    </row>
    <row r="25" spans="1:11" x14ac:dyDescent="0.2">
      <c r="A25" s="25">
        <v>2002</v>
      </c>
      <c r="B25" s="27">
        <v>101377</v>
      </c>
      <c r="C25" s="26">
        <v>45796</v>
      </c>
      <c r="D25" s="27">
        <v>84165</v>
      </c>
      <c r="E25" s="27">
        <v>118023</v>
      </c>
      <c r="F25" s="75">
        <v>31726</v>
      </c>
      <c r="G25" s="75">
        <v>1116</v>
      </c>
      <c r="H25" s="75">
        <v>68535</v>
      </c>
      <c r="I25" s="75">
        <v>116400</v>
      </c>
      <c r="J25" s="75">
        <v>217776</v>
      </c>
      <c r="K25" s="90">
        <v>0.69</v>
      </c>
    </row>
    <row r="26" spans="1:11" x14ac:dyDescent="0.2">
      <c r="A26" s="25">
        <v>2003</v>
      </c>
      <c r="B26" s="27">
        <v>144716</v>
      </c>
      <c r="C26" s="26">
        <v>45797</v>
      </c>
      <c r="D26" s="27">
        <v>115470</v>
      </c>
      <c r="E26" s="27">
        <v>178118</v>
      </c>
      <c r="F26" s="75">
        <v>33024</v>
      </c>
      <c r="G26" s="75">
        <v>1550</v>
      </c>
      <c r="H26" s="75">
        <v>110142</v>
      </c>
      <c r="I26" s="75">
        <v>136942</v>
      </c>
      <c r="J26" s="75">
        <v>281658</v>
      </c>
      <c r="K26" s="90">
        <v>0.61</v>
      </c>
    </row>
    <row r="27" spans="1:11" x14ac:dyDescent="0.2">
      <c r="A27" s="25">
        <v>2004</v>
      </c>
      <c r="B27" s="27">
        <v>96100</v>
      </c>
      <c r="C27" s="26">
        <v>45789</v>
      </c>
      <c r="D27" s="27">
        <v>78576</v>
      </c>
      <c r="E27" s="27">
        <v>116418</v>
      </c>
      <c r="F27" s="75">
        <v>20359</v>
      </c>
      <c r="G27" s="72">
        <v>594</v>
      </c>
      <c r="H27" s="75">
        <v>75147</v>
      </c>
      <c r="I27" s="75">
        <v>77012</v>
      </c>
      <c r="J27" s="75">
        <v>173112</v>
      </c>
      <c r="K27" s="90">
        <v>0.56999999999999995</v>
      </c>
    </row>
    <row r="28" spans="1:11" x14ac:dyDescent="0.2">
      <c r="A28" s="25">
        <v>2005</v>
      </c>
      <c r="B28" s="27">
        <v>89988</v>
      </c>
      <c r="C28" s="26">
        <v>45782</v>
      </c>
      <c r="D28" s="27">
        <v>75971</v>
      </c>
      <c r="E28" s="27">
        <v>103973</v>
      </c>
      <c r="F28" s="75">
        <v>22102</v>
      </c>
      <c r="G28" s="72">
        <v>927</v>
      </c>
      <c r="H28" s="75">
        <v>66959</v>
      </c>
      <c r="I28" s="75">
        <v>46089</v>
      </c>
      <c r="J28" s="75">
        <v>136077</v>
      </c>
      <c r="K28" s="90">
        <v>0.51</v>
      </c>
    </row>
    <row r="29" spans="1:11" x14ac:dyDescent="0.2">
      <c r="A29" s="25">
        <v>2006</v>
      </c>
      <c r="B29" s="27">
        <v>122357</v>
      </c>
      <c r="C29" s="26">
        <v>45797</v>
      </c>
      <c r="D29" s="27">
        <v>97784</v>
      </c>
      <c r="E29" s="27">
        <v>151134</v>
      </c>
      <c r="F29" s="75">
        <v>21446</v>
      </c>
      <c r="G29" s="75">
        <v>3363</v>
      </c>
      <c r="H29" s="75">
        <v>97548</v>
      </c>
      <c r="I29" s="75">
        <v>65828</v>
      </c>
      <c r="J29" s="75">
        <v>188185</v>
      </c>
      <c r="K29" s="90">
        <v>0.48</v>
      </c>
    </row>
    <row r="30" spans="1:11" x14ac:dyDescent="0.2">
      <c r="A30" s="25">
        <v>2007</v>
      </c>
      <c r="B30" s="27">
        <v>89573</v>
      </c>
      <c r="C30" s="26">
        <v>45796</v>
      </c>
      <c r="D30" s="27">
        <v>62994</v>
      </c>
      <c r="E30" s="27">
        <v>124282</v>
      </c>
      <c r="F30" s="75">
        <v>17124</v>
      </c>
      <c r="G30" s="75">
        <v>3616</v>
      </c>
      <c r="H30" s="75">
        <v>68833</v>
      </c>
      <c r="I30" s="75">
        <v>65129</v>
      </c>
      <c r="J30" s="75">
        <v>154702</v>
      </c>
      <c r="K30" s="90">
        <v>0.56000000000000005</v>
      </c>
    </row>
    <row r="31" spans="1:11" x14ac:dyDescent="0.2">
      <c r="A31" s="25">
        <v>2008</v>
      </c>
      <c r="B31" s="27">
        <v>107062</v>
      </c>
      <c r="C31" s="26">
        <v>45794</v>
      </c>
      <c r="D31" s="27">
        <v>69039</v>
      </c>
      <c r="E31" s="27">
        <v>158561</v>
      </c>
      <c r="F31" s="75">
        <v>19372</v>
      </c>
      <c r="G31" s="75">
        <v>3840</v>
      </c>
      <c r="H31" s="75">
        <v>83850</v>
      </c>
      <c r="I31" s="75">
        <v>75692</v>
      </c>
      <c r="J31" s="75">
        <v>182754</v>
      </c>
      <c r="K31" s="90">
        <v>0.54</v>
      </c>
    </row>
    <row r="32" spans="1:11" x14ac:dyDescent="0.2">
      <c r="A32" s="25">
        <v>2009</v>
      </c>
      <c r="B32" s="27">
        <v>99006</v>
      </c>
      <c r="C32" s="26">
        <v>45789</v>
      </c>
      <c r="D32" s="27">
        <v>64202</v>
      </c>
      <c r="E32" s="27">
        <v>139724</v>
      </c>
      <c r="F32" s="75">
        <v>11235</v>
      </c>
      <c r="G32" s="72">
        <v>849</v>
      </c>
      <c r="H32" s="75">
        <v>86922</v>
      </c>
      <c r="I32" s="75">
        <v>36232</v>
      </c>
      <c r="J32" s="75">
        <v>135238</v>
      </c>
      <c r="K32" s="90">
        <v>0.36</v>
      </c>
    </row>
    <row r="33" spans="1:11" x14ac:dyDescent="0.2">
      <c r="A33" s="25">
        <v>2010</v>
      </c>
      <c r="B33" s="27">
        <v>78500</v>
      </c>
      <c r="C33" s="26">
        <v>45796</v>
      </c>
      <c r="D33" s="27">
        <v>66204</v>
      </c>
      <c r="E33" s="27">
        <v>90618</v>
      </c>
      <c r="F33" s="75">
        <v>20661</v>
      </c>
      <c r="G33" s="75">
        <v>1400</v>
      </c>
      <c r="H33" s="75">
        <v>56439</v>
      </c>
      <c r="I33" s="75">
        <v>46767</v>
      </c>
      <c r="J33" s="75">
        <v>125267</v>
      </c>
      <c r="K33" s="90">
        <v>0.55000000000000004</v>
      </c>
    </row>
    <row r="34" spans="1:11" x14ac:dyDescent="0.2">
      <c r="A34" s="25">
        <v>2011</v>
      </c>
      <c r="B34" s="27">
        <v>99285</v>
      </c>
      <c r="C34" s="26">
        <v>45772</v>
      </c>
      <c r="D34" s="27">
        <v>79247</v>
      </c>
      <c r="E34" s="27">
        <v>121773</v>
      </c>
      <c r="F34" s="75">
        <v>24543</v>
      </c>
      <c r="G34" s="75">
        <v>1300</v>
      </c>
      <c r="H34" s="75">
        <v>73442</v>
      </c>
      <c r="I34" s="75">
        <v>71805</v>
      </c>
      <c r="J34" s="75">
        <v>171090</v>
      </c>
      <c r="K34" s="90">
        <v>0.56999999999999995</v>
      </c>
    </row>
    <row r="35" spans="1:11" x14ac:dyDescent="0.2">
      <c r="A35" s="25">
        <v>2012</v>
      </c>
      <c r="B35" s="27">
        <v>112302</v>
      </c>
      <c r="C35" s="26">
        <v>45772</v>
      </c>
      <c r="D35" s="27">
        <v>95346</v>
      </c>
      <c r="E35" s="27">
        <v>129350</v>
      </c>
      <c r="F35" s="75">
        <v>30113</v>
      </c>
      <c r="G35" s="75">
        <v>1450</v>
      </c>
      <c r="H35" s="75">
        <v>80739</v>
      </c>
      <c r="I35" s="75">
        <v>50736</v>
      </c>
      <c r="J35" s="75">
        <v>163038</v>
      </c>
      <c r="K35" s="90">
        <v>0.5</v>
      </c>
    </row>
    <row r="36" spans="1:11" x14ac:dyDescent="0.2">
      <c r="A36" s="25">
        <v>2013</v>
      </c>
      <c r="B36" s="27">
        <v>86602</v>
      </c>
      <c r="C36" s="26">
        <v>45792</v>
      </c>
      <c r="D36" s="27">
        <v>69458</v>
      </c>
      <c r="E36" s="27">
        <v>105574</v>
      </c>
      <c r="F36" s="75">
        <v>25173</v>
      </c>
      <c r="G36" s="75">
        <v>1300</v>
      </c>
      <c r="H36" s="75">
        <v>60129</v>
      </c>
      <c r="I36" s="75">
        <v>100144</v>
      </c>
      <c r="J36" s="75">
        <v>186746</v>
      </c>
      <c r="K36" s="90">
        <v>0.68</v>
      </c>
    </row>
    <row r="37" spans="1:11" x14ac:dyDescent="0.2">
      <c r="A37" s="25">
        <v>2014</v>
      </c>
      <c r="B37" s="27">
        <v>72590</v>
      </c>
      <c r="C37" s="26">
        <v>45772</v>
      </c>
      <c r="D37" s="27">
        <v>61448</v>
      </c>
      <c r="E37" s="27">
        <v>84430</v>
      </c>
      <c r="F37" s="75">
        <v>17795</v>
      </c>
      <c r="G37" s="72">
        <v>909</v>
      </c>
      <c r="H37" s="75">
        <v>53886</v>
      </c>
      <c r="I37" s="75">
        <v>33226</v>
      </c>
      <c r="J37" s="75">
        <v>105816</v>
      </c>
      <c r="K37" s="90">
        <v>0.49</v>
      </c>
    </row>
    <row r="38" spans="1:11" x14ac:dyDescent="0.2">
      <c r="A38" s="25">
        <v>2015</v>
      </c>
      <c r="B38" s="27">
        <v>124744</v>
      </c>
      <c r="C38" s="26">
        <v>45772</v>
      </c>
      <c r="D38" s="27">
        <v>100607</v>
      </c>
      <c r="E38" s="27">
        <v>152215</v>
      </c>
      <c r="F38" s="75">
        <v>19849</v>
      </c>
      <c r="G38" s="72">
        <v>598</v>
      </c>
      <c r="H38" s="75">
        <v>104297</v>
      </c>
      <c r="I38" s="75">
        <v>42054</v>
      </c>
      <c r="J38" s="75">
        <v>166798</v>
      </c>
      <c r="K38" s="90">
        <v>0.37</v>
      </c>
    </row>
    <row r="39" spans="1:11" x14ac:dyDescent="0.2">
      <c r="A39" s="25">
        <v>2016</v>
      </c>
      <c r="B39" s="27">
        <v>151236</v>
      </c>
      <c r="C39" s="26">
        <v>45780</v>
      </c>
      <c r="D39" s="27">
        <v>128999</v>
      </c>
      <c r="E39" s="27">
        <v>175005</v>
      </c>
      <c r="F39" s="75">
        <v>37434</v>
      </c>
      <c r="G39" s="75">
        <v>1677</v>
      </c>
      <c r="H39" s="75">
        <v>112125</v>
      </c>
      <c r="I39" s="75">
        <v>74874</v>
      </c>
      <c r="J39" s="75">
        <v>226110</v>
      </c>
      <c r="K39" s="90">
        <v>0.5</v>
      </c>
    </row>
    <row r="40" spans="1:11" x14ac:dyDescent="0.2">
      <c r="A40" s="25">
        <v>2017</v>
      </c>
      <c r="B40" s="27">
        <v>109234</v>
      </c>
      <c r="C40" s="26">
        <v>45795</v>
      </c>
      <c r="D40" s="27">
        <v>87858</v>
      </c>
      <c r="E40" s="27">
        <v>139146</v>
      </c>
      <c r="F40" s="75">
        <v>30379</v>
      </c>
      <c r="G40" s="75">
        <v>1716</v>
      </c>
      <c r="H40" s="75">
        <v>77139</v>
      </c>
      <c r="I40" s="75">
        <v>74604</v>
      </c>
      <c r="J40" s="75">
        <v>183838</v>
      </c>
      <c r="K40" s="90">
        <v>0.57999999999999996</v>
      </c>
    </row>
    <row r="41" spans="1:11" x14ac:dyDescent="0.2">
      <c r="A41" s="25">
        <v>2018</v>
      </c>
      <c r="B41" s="27">
        <v>102756</v>
      </c>
      <c r="C41" s="26">
        <v>45815</v>
      </c>
      <c r="D41" s="27">
        <v>80030</v>
      </c>
      <c r="E41" s="27">
        <v>135544</v>
      </c>
      <c r="F41" s="75">
        <v>17962</v>
      </c>
      <c r="G41" s="75">
        <v>1304</v>
      </c>
      <c r="H41" s="75">
        <v>83490</v>
      </c>
      <c r="I41" s="75">
        <v>27514</v>
      </c>
      <c r="J41" s="75">
        <v>130270</v>
      </c>
      <c r="K41" s="90">
        <v>0.36</v>
      </c>
    </row>
    <row r="42" spans="1:11" x14ac:dyDescent="0.2">
      <c r="A42" s="25">
        <v>2019</v>
      </c>
      <c r="B42" s="27">
        <v>100958</v>
      </c>
      <c r="C42" s="26">
        <v>45792</v>
      </c>
      <c r="D42" s="27">
        <v>90094</v>
      </c>
      <c r="E42" s="27">
        <v>113510</v>
      </c>
      <c r="F42" s="75">
        <v>21481</v>
      </c>
      <c r="G42" s="75">
        <v>1466</v>
      </c>
      <c r="H42" s="75">
        <v>78011</v>
      </c>
      <c r="I42" s="75">
        <v>68226</v>
      </c>
      <c r="J42" s="75">
        <v>169184</v>
      </c>
      <c r="K42" s="90">
        <v>0.54</v>
      </c>
    </row>
    <row r="43" spans="1:11" x14ac:dyDescent="0.2">
      <c r="A43" s="25">
        <v>2020</v>
      </c>
      <c r="B43" s="27">
        <v>122491</v>
      </c>
      <c r="C43" s="26">
        <v>45790</v>
      </c>
      <c r="D43" s="27">
        <v>95777</v>
      </c>
      <c r="E43" s="27">
        <v>156165</v>
      </c>
      <c r="F43" s="75">
        <v>11780</v>
      </c>
      <c r="G43" s="75">
        <v>1389</v>
      </c>
      <c r="H43" s="75">
        <v>109322</v>
      </c>
      <c r="I43" s="75">
        <v>9472</v>
      </c>
      <c r="J43" s="75">
        <v>131963</v>
      </c>
      <c r="K43" s="90">
        <v>0.17</v>
      </c>
    </row>
    <row r="44" spans="1:11" x14ac:dyDescent="0.2">
      <c r="A44" s="25">
        <v>2021</v>
      </c>
      <c r="B44" s="27">
        <v>174010</v>
      </c>
      <c r="C44" s="26">
        <v>45788</v>
      </c>
      <c r="D44" s="27">
        <v>137196</v>
      </c>
      <c r="E44" s="27">
        <v>223932</v>
      </c>
      <c r="F44" s="75">
        <v>18485</v>
      </c>
      <c r="G44" s="75">
        <v>2282</v>
      </c>
      <c r="H44" s="75">
        <v>153243</v>
      </c>
      <c r="I44" s="75">
        <v>38784</v>
      </c>
      <c r="J44" s="75">
        <v>212794</v>
      </c>
      <c r="K44" s="90">
        <v>0.28000000000000003</v>
      </c>
    </row>
    <row r="45" spans="1:11" x14ac:dyDescent="0.2">
      <c r="A45" s="25">
        <v>2022</v>
      </c>
      <c r="B45" s="27">
        <v>119883</v>
      </c>
      <c r="C45" s="26">
        <v>45787</v>
      </c>
      <c r="D45" s="27">
        <v>103008</v>
      </c>
      <c r="E45" s="27">
        <v>142046</v>
      </c>
      <c r="F45" s="75">
        <v>27605</v>
      </c>
      <c r="G45" s="75">
        <v>1882</v>
      </c>
      <c r="H45" s="75">
        <v>90396</v>
      </c>
      <c r="I45" s="75">
        <v>90163</v>
      </c>
      <c r="J45" s="75">
        <v>210046</v>
      </c>
      <c r="K45" s="90">
        <v>0.56999999999999995</v>
      </c>
    </row>
    <row r="46" spans="1:11" x14ac:dyDescent="0.2">
      <c r="A46" s="25">
        <v>2023</v>
      </c>
      <c r="B46" s="27">
        <v>120336</v>
      </c>
      <c r="C46" s="26">
        <v>45784</v>
      </c>
      <c r="D46" s="27">
        <v>91522</v>
      </c>
      <c r="E46" s="27">
        <v>157470</v>
      </c>
      <c r="F46" s="75">
        <v>17040</v>
      </c>
      <c r="G46" s="75">
        <v>1778</v>
      </c>
      <c r="H46" s="75">
        <v>101518</v>
      </c>
      <c r="I46" s="75">
        <v>51667</v>
      </c>
      <c r="J46" s="75">
        <v>172003</v>
      </c>
      <c r="K46" s="90">
        <v>0.41</v>
      </c>
    </row>
    <row r="47" spans="1:11" x14ac:dyDescent="0.2">
      <c r="A47" s="23">
        <v>2024</v>
      </c>
      <c r="B47" s="28">
        <v>134632</v>
      </c>
      <c r="C47" s="94">
        <v>45784</v>
      </c>
      <c r="D47" s="28">
        <v>104888</v>
      </c>
      <c r="E47" s="28">
        <v>194513</v>
      </c>
      <c r="F47" s="70">
        <v>19854</v>
      </c>
      <c r="G47" s="70">
        <v>2107</v>
      </c>
      <c r="H47" s="70">
        <v>112671</v>
      </c>
      <c r="I47" s="70">
        <v>63016</v>
      </c>
      <c r="J47" s="70">
        <v>197648</v>
      </c>
      <c r="K47" s="91">
        <v>0.43</v>
      </c>
    </row>
    <row r="48" spans="1:11" x14ac:dyDescent="0.2">
      <c r="A48" s="211" t="s">
        <v>24</v>
      </c>
      <c r="B48" s="211"/>
      <c r="C48" s="21"/>
      <c r="D48" s="21"/>
      <c r="E48" s="21"/>
      <c r="F48" s="21"/>
      <c r="G48" s="21"/>
      <c r="H48" s="21"/>
      <c r="I48" s="21"/>
      <c r="J48" s="21"/>
      <c r="K48" s="21"/>
    </row>
    <row r="49" spans="1:11" x14ac:dyDescent="0.2">
      <c r="A49" s="76" t="s">
        <v>309</v>
      </c>
      <c r="B49" s="75">
        <v>102899</v>
      </c>
      <c r="C49" s="92">
        <v>45817</v>
      </c>
      <c r="D49" s="72"/>
      <c r="E49" s="72"/>
      <c r="F49" s="75">
        <v>23858</v>
      </c>
      <c r="G49" s="75">
        <v>1391</v>
      </c>
      <c r="H49" s="75">
        <v>76857</v>
      </c>
      <c r="I49" s="75">
        <v>77983</v>
      </c>
      <c r="J49" s="75">
        <v>180089</v>
      </c>
      <c r="K49" s="90">
        <v>0.55000000000000004</v>
      </c>
    </row>
    <row r="50" spans="1:11" x14ac:dyDescent="0.2">
      <c r="A50" s="77" t="s">
        <v>302</v>
      </c>
      <c r="B50" s="70">
        <v>119824</v>
      </c>
      <c r="C50" s="93">
        <v>45787</v>
      </c>
      <c r="D50" s="71"/>
      <c r="E50" s="71"/>
      <c r="F50" s="70">
        <v>21981</v>
      </c>
      <c r="G50" s="70">
        <v>1500</v>
      </c>
      <c r="H50" s="70">
        <v>96343</v>
      </c>
      <c r="I50" s="70">
        <v>51058</v>
      </c>
      <c r="J50" s="70">
        <v>170882</v>
      </c>
      <c r="K50" s="91">
        <v>0.43</v>
      </c>
    </row>
  </sheetData>
  <mergeCells count="4">
    <mergeCell ref="A48:B48"/>
    <mergeCell ref="B4:E4"/>
    <mergeCell ref="D5:E5"/>
    <mergeCell ref="A5:B5"/>
  </mergeCell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9"/>
  <sheetViews>
    <sheetView workbookViewId="0">
      <selection activeCell="C13" sqref="C13"/>
    </sheetView>
  </sheetViews>
  <sheetFormatPr baseColWidth="10" defaultColWidth="8.83203125" defaultRowHeight="15" x14ac:dyDescent="0.2"/>
  <sheetData>
    <row r="1" spans="1:13" x14ac:dyDescent="0.2">
      <c r="A1" s="215" t="s">
        <v>258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x14ac:dyDescent="0.2">
      <c r="A2" s="217"/>
      <c r="B2" s="217"/>
      <c r="C2" s="29"/>
      <c r="D2" s="29"/>
      <c r="E2" s="29"/>
      <c r="F2" s="29"/>
      <c r="G2" s="29"/>
      <c r="H2" s="21"/>
      <c r="I2" s="21"/>
      <c r="J2" s="21"/>
      <c r="K2" s="21"/>
      <c r="L2" s="29"/>
      <c r="M2" s="29"/>
    </row>
    <row r="3" spans="1:13" ht="17" x14ac:dyDescent="0.3">
      <c r="A3" s="74"/>
      <c r="B3" s="210" t="s">
        <v>153</v>
      </c>
      <c r="C3" s="210"/>
      <c r="D3" s="210"/>
      <c r="E3" s="210"/>
      <c r="F3" s="210"/>
      <c r="G3" s="210"/>
      <c r="H3" s="210" t="s">
        <v>154</v>
      </c>
      <c r="I3" s="210"/>
      <c r="J3" s="210"/>
      <c r="K3" s="210"/>
      <c r="L3" s="210"/>
      <c r="M3" s="210"/>
    </row>
    <row r="4" spans="1:13" ht="17" x14ac:dyDescent="0.3">
      <c r="A4" s="21"/>
      <c r="B4" s="216" t="s">
        <v>3</v>
      </c>
      <c r="C4" s="216"/>
      <c r="D4" s="21" t="s">
        <v>99</v>
      </c>
      <c r="E4" s="21"/>
      <c r="F4" s="21" t="s">
        <v>155</v>
      </c>
      <c r="G4" s="21" t="s">
        <v>5</v>
      </c>
      <c r="H4" s="216" t="s">
        <v>3</v>
      </c>
      <c r="I4" s="216"/>
      <c r="J4" s="21" t="s">
        <v>99</v>
      </c>
      <c r="K4" s="21"/>
      <c r="L4" s="21" t="s">
        <v>155</v>
      </c>
      <c r="M4" s="21" t="s">
        <v>5</v>
      </c>
    </row>
    <row r="5" spans="1:13" x14ac:dyDescent="0.2">
      <c r="A5" s="23" t="s">
        <v>10</v>
      </c>
      <c r="B5" s="19" t="s">
        <v>12</v>
      </c>
      <c r="C5" s="19" t="s">
        <v>257</v>
      </c>
      <c r="D5" s="19" t="s">
        <v>156</v>
      </c>
      <c r="E5" s="19" t="s">
        <v>157</v>
      </c>
      <c r="F5" s="19" t="s">
        <v>12</v>
      </c>
      <c r="G5" s="19" t="s">
        <v>151</v>
      </c>
      <c r="H5" s="19" t="s">
        <v>12</v>
      </c>
      <c r="I5" s="19" t="s">
        <v>257</v>
      </c>
      <c r="J5" s="19" t="s">
        <v>156</v>
      </c>
      <c r="K5" s="19" t="s">
        <v>157</v>
      </c>
      <c r="L5" s="19" t="s">
        <v>12</v>
      </c>
      <c r="M5" s="19" t="s">
        <v>151</v>
      </c>
    </row>
    <row r="6" spans="1:13" x14ac:dyDescent="0.2">
      <c r="A6" s="25">
        <v>1984</v>
      </c>
      <c r="B6" s="75">
        <v>27292</v>
      </c>
      <c r="C6" s="72">
        <v>0</v>
      </c>
      <c r="D6" s="72"/>
      <c r="E6" s="75">
        <v>67299</v>
      </c>
      <c r="F6" s="75">
        <v>57619</v>
      </c>
      <c r="G6" s="75">
        <v>152210</v>
      </c>
      <c r="H6" s="72"/>
      <c r="I6" s="72"/>
      <c r="J6" s="72"/>
      <c r="K6" s="72"/>
      <c r="L6" s="72"/>
      <c r="M6" s="72"/>
    </row>
    <row r="7" spans="1:13" x14ac:dyDescent="0.2">
      <c r="A7" s="25">
        <v>1985</v>
      </c>
      <c r="B7" s="75">
        <v>14411</v>
      </c>
      <c r="C7" s="72">
        <v>0</v>
      </c>
      <c r="D7" s="72"/>
      <c r="E7" s="75">
        <v>76115</v>
      </c>
      <c r="F7" s="75">
        <v>74287</v>
      </c>
      <c r="G7" s="75">
        <v>164813</v>
      </c>
      <c r="H7" s="72"/>
      <c r="I7" s="72"/>
      <c r="J7" s="72"/>
      <c r="K7" s="72"/>
      <c r="L7" s="72"/>
      <c r="M7" s="72"/>
    </row>
    <row r="8" spans="1:13" x14ac:dyDescent="0.2">
      <c r="A8" s="25">
        <v>1986</v>
      </c>
      <c r="B8" s="75">
        <v>14939</v>
      </c>
      <c r="C8" s="72">
        <v>0</v>
      </c>
      <c r="D8" s="72"/>
      <c r="E8" s="75">
        <v>71021</v>
      </c>
      <c r="F8" s="75">
        <v>60644</v>
      </c>
      <c r="G8" s="75">
        <v>146604</v>
      </c>
      <c r="H8" s="72"/>
      <c r="I8" s="72"/>
      <c r="J8" s="72"/>
      <c r="K8" s="72"/>
      <c r="L8" s="72"/>
      <c r="M8" s="72"/>
    </row>
    <row r="9" spans="1:13" x14ac:dyDescent="0.2">
      <c r="A9" s="25">
        <v>1987</v>
      </c>
      <c r="B9" s="75">
        <v>13650</v>
      </c>
      <c r="C9" s="72">
        <v>237</v>
      </c>
      <c r="D9" s="72"/>
      <c r="E9" s="75">
        <v>46509</v>
      </c>
      <c r="F9" s="75">
        <v>54963</v>
      </c>
      <c r="G9" s="75">
        <v>115359</v>
      </c>
      <c r="H9" s="72"/>
      <c r="I9" s="72"/>
      <c r="J9" s="72"/>
      <c r="K9" s="72"/>
      <c r="L9" s="72"/>
      <c r="M9" s="72"/>
    </row>
    <row r="10" spans="1:13" x14ac:dyDescent="0.2">
      <c r="A10" s="25">
        <v>1988</v>
      </c>
      <c r="B10" s="75">
        <v>12259</v>
      </c>
      <c r="C10" s="72">
        <v>708</v>
      </c>
      <c r="D10" s="72">
        <v>0</v>
      </c>
      <c r="E10" s="75">
        <v>46591</v>
      </c>
      <c r="F10" s="75">
        <v>25785</v>
      </c>
      <c r="G10" s="75">
        <v>85344</v>
      </c>
      <c r="H10" s="72"/>
      <c r="I10" s="72"/>
      <c r="J10" s="72"/>
      <c r="K10" s="72"/>
      <c r="L10" s="72"/>
      <c r="M10" s="72"/>
    </row>
    <row r="11" spans="1:13" x14ac:dyDescent="0.2">
      <c r="A11" s="25">
        <v>1989</v>
      </c>
      <c r="B11" s="75">
        <v>18598</v>
      </c>
      <c r="C11" s="72">
        <v>207</v>
      </c>
      <c r="D11" s="72">
        <v>0</v>
      </c>
      <c r="E11" s="75">
        <v>67990</v>
      </c>
      <c r="F11" s="75">
        <v>63366</v>
      </c>
      <c r="G11" s="75">
        <v>150161</v>
      </c>
      <c r="H11" s="72"/>
      <c r="I11" s="72"/>
      <c r="J11" s="72"/>
      <c r="K11" s="72"/>
      <c r="L11" s="72"/>
      <c r="M11" s="72"/>
    </row>
    <row r="12" spans="1:13" x14ac:dyDescent="0.2">
      <c r="A12" s="25">
        <v>1990</v>
      </c>
      <c r="B12" s="75">
        <v>21189</v>
      </c>
      <c r="C12" s="72">
        <v>285</v>
      </c>
      <c r="D12" s="75">
        <v>1666</v>
      </c>
      <c r="E12" s="75">
        <v>58086</v>
      </c>
      <c r="F12" s="75">
        <v>109285</v>
      </c>
      <c r="G12" s="75">
        <v>190512</v>
      </c>
      <c r="H12" s="72"/>
      <c r="I12" s="72"/>
      <c r="J12" s="72"/>
      <c r="K12" s="72"/>
      <c r="L12" s="72"/>
      <c r="M12" s="72"/>
    </row>
    <row r="13" spans="1:13" x14ac:dyDescent="0.2">
      <c r="A13" s="25">
        <v>1991</v>
      </c>
      <c r="B13" s="75">
        <v>25217</v>
      </c>
      <c r="C13" s="72">
        <v>163</v>
      </c>
      <c r="D13" s="75">
        <v>1941</v>
      </c>
      <c r="E13" s="75">
        <v>85082</v>
      </c>
      <c r="F13" s="75">
        <v>105271</v>
      </c>
      <c r="G13" s="75">
        <v>217674</v>
      </c>
      <c r="H13" s="72"/>
      <c r="I13" s="72"/>
      <c r="J13" s="72"/>
      <c r="K13" s="72"/>
      <c r="L13" s="72"/>
      <c r="M13" s="72"/>
    </row>
    <row r="14" spans="1:13" x14ac:dyDescent="0.2">
      <c r="A14" s="25">
        <v>1992</v>
      </c>
      <c r="B14" s="75">
        <v>29824</v>
      </c>
      <c r="C14" s="72">
        <v>38</v>
      </c>
      <c r="D14" s="75">
        <v>1640</v>
      </c>
      <c r="E14" s="75">
        <v>75273</v>
      </c>
      <c r="F14" s="75">
        <v>121176</v>
      </c>
      <c r="G14" s="75">
        <v>227950</v>
      </c>
      <c r="H14" s="72"/>
      <c r="I14" s="72"/>
      <c r="J14" s="72"/>
      <c r="K14" s="72"/>
      <c r="L14" s="72"/>
      <c r="M14" s="72"/>
    </row>
    <row r="15" spans="1:13" x14ac:dyDescent="0.2">
      <c r="A15" s="25">
        <v>1993</v>
      </c>
      <c r="B15" s="75">
        <v>33357</v>
      </c>
      <c r="C15" s="72">
        <v>166</v>
      </c>
      <c r="D15" s="72">
        <v>747</v>
      </c>
      <c r="E15" s="75">
        <v>65315</v>
      </c>
      <c r="F15" s="75">
        <v>142089</v>
      </c>
      <c r="G15" s="75">
        <v>241673</v>
      </c>
      <c r="H15" s="72"/>
      <c r="I15" s="72"/>
      <c r="J15" s="72"/>
      <c r="K15" s="72"/>
      <c r="L15" s="72"/>
      <c r="M15" s="72"/>
    </row>
    <row r="16" spans="1:13" x14ac:dyDescent="0.2">
      <c r="A16" s="25">
        <v>1994</v>
      </c>
      <c r="B16" s="75">
        <v>29001</v>
      </c>
      <c r="C16" s="72">
        <v>0</v>
      </c>
      <c r="D16" s="72">
        <v>747</v>
      </c>
      <c r="E16" s="75">
        <v>66831</v>
      </c>
      <c r="F16" s="75">
        <v>98063</v>
      </c>
      <c r="G16" s="75">
        <v>194642</v>
      </c>
      <c r="H16" s="72"/>
      <c r="I16" s="72"/>
      <c r="J16" s="72"/>
      <c r="K16" s="72"/>
      <c r="L16" s="72"/>
      <c r="M16" s="72"/>
    </row>
    <row r="17" spans="1:13" x14ac:dyDescent="0.2">
      <c r="A17" s="25">
        <v>1995</v>
      </c>
      <c r="B17" s="75">
        <v>31374</v>
      </c>
      <c r="C17" s="72">
        <v>0</v>
      </c>
      <c r="D17" s="75">
        <v>1093</v>
      </c>
      <c r="E17" s="75">
        <v>75899</v>
      </c>
      <c r="F17" s="75">
        <v>87878</v>
      </c>
      <c r="G17" s="75">
        <v>196244</v>
      </c>
      <c r="H17" s="75">
        <v>1337</v>
      </c>
      <c r="I17" s="72">
        <v>0</v>
      </c>
      <c r="J17" s="72">
        <v>300</v>
      </c>
      <c r="K17" s="75">
        <v>1700</v>
      </c>
      <c r="L17" s="75">
        <v>4106</v>
      </c>
      <c r="M17" s="75">
        <v>7443</v>
      </c>
    </row>
    <row r="18" spans="1:13" x14ac:dyDescent="0.2">
      <c r="A18" s="25">
        <v>1996</v>
      </c>
      <c r="B18" s="75">
        <v>41287</v>
      </c>
      <c r="C18" s="72">
        <v>0</v>
      </c>
      <c r="D18" s="75">
        <v>2254</v>
      </c>
      <c r="E18" s="75">
        <v>59439</v>
      </c>
      <c r="F18" s="75">
        <v>182944</v>
      </c>
      <c r="G18" s="75">
        <v>285924</v>
      </c>
      <c r="H18" s="72">
        <v>738</v>
      </c>
      <c r="I18" s="72">
        <v>0</v>
      </c>
      <c r="J18" s="72">
        <v>101</v>
      </c>
      <c r="K18" s="72">
        <v>636</v>
      </c>
      <c r="L18" s="75">
        <v>4783</v>
      </c>
      <c r="M18" s="75">
        <v>6258</v>
      </c>
    </row>
    <row r="19" spans="1:13" x14ac:dyDescent="0.2">
      <c r="A19" s="25">
        <v>1997</v>
      </c>
      <c r="B19" s="75">
        <v>23685</v>
      </c>
      <c r="C19" s="72">
        <v>0</v>
      </c>
      <c r="D19" s="75">
        <v>2316</v>
      </c>
      <c r="E19" s="75">
        <v>51152</v>
      </c>
      <c r="F19" s="75">
        <v>77067</v>
      </c>
      <c r="G19" s="75">
        <v>154220</v>
      </c>
      <c r="H19" s="72">
        <v>667</v>
      </c>
      <c r="I19" s="72">
        <v>0</v>
      </c>
      <c r="J19" s="72">
        <v>66</v>
      </c>
      <c r="K19" s="72">
        <v>612</v>
      </c>
      <c r="L19" s="75">
        <v>2060</v>
      </c>
      <c r="M19" s="75">
        <v>3405</v>
      </c>
    </row>
    <row r="20" spans="1:13" x14ac:dyDescent="0.2">
      <c r="A20" s="25">
        <v>1998</v>
      </c>
      <c r="B20" s="75">
        <v>18681</v>
      </c>
      <c r="C20" s="72">
        <v>0</v>
      </c>
      <c r="D20" s="75">
        <v>1233</v>
      </c>
      <c r="E20" s="75">
        <v>47697</v>
      </c>
      <c r="F20" s="75">
        <v>48989</v>
      </c>
      <c r="G20" s="75">
        <v>116600</v>
      </c>
      <c r="H20" s="72">
        <v>596</v>
      </c>
      <c r="I20" s="72">
        <v>0</v>
      </c>
      <c r="J20" s="72">
        <v>29</v>
      </c>
      <c r="K20" s="75">
        <v>1155</v>
      </c>
      <c r="L20" s="72">
        <v>843</v>
      </c>
      <c r="M20" s="75">
        <v>2623</v>
      </c>
    </row>
    <row r="21" spans="1:13" x14ac:dyDescent="0.2">
      <c r="A21" s="25">
        <v>1999</v>
      </c>
      <c r="B21" s="75">
        <v>20761</v>
      </c>
      <c r="C21" s="72">
        <v>87</v>
      </c>
      <c r="D21" s="72">
        <v>212</v>
      </c>
      <c r="E21" s="75">
        <v>68121</v>
      </c>
      <c r="F21" s="75">
        <v>62441</v>
      </c>
      <c r="G21" s="75">
        <v>151621</v>
      </c>
      <c r="H21" s="72">
        <v>302</v>
      </c>
      <c r="I21" s="72">
        <v>1</v>
      </c>
      <c r="J21" s="72">
        <v>4</v>
      </c>
      <c r="K21" s="72">
        <v>82</v>
      </c>
      <c r="L21" s="72">
        <v>617</v>
      </c>
      <c r="M21" s="75">
        <v>1007</v>
      </c>
    </row>
    <row r="22" spans="1:13" x14ac:dyDescent="0.2">
      <c r="A22" s="25">
        <v>2000</v>
      </c>
      <c r="B22" s="75">
        <v>27711</v>
      </c>
      <c r="C22" s="72">
        <v>314</v>
      </c>
      <c r="D22" s="75">
        <v>1740</v>
      </c>
      <c r="E22" s="75">
        <v>57671</v>
      </c>
      <c r="F22" s="75">
        <v>129683</v>
      </c>
      <c r="G22" s="75">
        <v>217120</v>
      </c>
      <c r="H22" s="72">
        <v>438</v>
      </c>
      <c r="I22" s="72">
        <v>5</v>
      </c>
      <c r="J22" s="72">
        <v>265</v>
      </c>
      <c r="K22" s="75">
        <v>1000</v>
      </c>
      <c r="L22" s="75">
        <v>1579</v>
      </c>
      <c r="M22" s="75">
        <v>3286</v>
      </c>
    </row>
    <row r="23" spans="1:13" x14ac:dyDescent="0.2">
      <c r="A23" s="25">
        <v>2001</v>
      </c>
      <c r="B23" s="75">
        <v>45994</v>
      </c>
      <c r="C23" s="72">
        <v>237</v>
      </c>
      <c r="D23" s="75">
        <v>2498</v>
      </c>
      <c r="E23" s="75">
        <v>87120</v>
      </c>
      <c r="F23" s="75">
        <v>195496</v>
      </c>
      <c r="G23" s="75">
        <v>331344</v>
      </c>
      <c r="H23" s="75">
        <v>1876</v>
      </c>
      <c r="I23" s="72">
        <v>10</v>
      </c>
      <c r="J23" s="72">
        <v>498</v>
      </c>
      <c r="K23" s="75">
        <v>3753</v>
      </c>
      <c r="L23" s="75">
        <v>8938</v>
      </c>
      <c r="M23" s="75">
        <v>15075</v>
      </c>
    </row>
    <row r="24" spans="1:13" x14ac:dyDescent="0.2">
      <c r="A24" s="25">
        <v>2002</v>
      </c>
      <c r="B24" s="75">
        <v>31159</v>
      </c>
      <c r="C24" s="72">
        <v>517</v>
      </c>
      <c r="D24" s="72">
        <v>982</v>
      </c>
      <c r="E24" s="75">
        <v>67876</v>
      </c>
      <c r="F24" s="75">
        <v>115747</v>
      </c>
      <c r="G24" s="75">
        <v>216281</v>
      </c>
      <c r="H24" s="72">
        <v>49</v>
      </c>
      <c r="I24" s="72">
        <v>1</v>
      </c>
      <c r="J24" s="72">
        <v>134</v>
      </c>
      <c r="K24" s="72">
        <v>659</v>
      </c>
      <c r="L24" s="72">
        <v>653</v>
      </c>
      <c r="M24" s="75">
        <v>1496</v>
      </c>
    </row>
    <row r="25" spans="1:13" x14ac:dyDescent="0.2">
      <c r="A25" s="25">
        <v>2003</v>
      </c>
      <c r="B25" s="75">
        <v>32728</v>
      </c>
      <c r="C25" s="72">
        <v>27</v>
      </c>
      <c r="D25" s="75">
        <v>1090</v>
      </c>
      <c r="E25" s="75">
        <v>108802</v>
      </c>
      <c r="F25" s="75">
        <v>136165</v>
      </c>
      <c r="G25" s="75">
        <v>278812</v>
      </c>
      <c r="H25" s="72">
        <v>269</v>
      </c>
      <c r="I25" s="72">
        <v>0</v>
      </c>
      <c r="J25" s="72">
        <v>460</v>
      </c>
      <c r="K25" s="75">
        <v>1340</v>
      </c>
      <c r="L25" s="72">
        <v>777</v>
      </c>
      <c r="M25" s="75">
        <v>2846</v>
      </c>
    </row>
    <row r="26" spans="1:13" x14ac:dyDescent="0.2">
      <c r="A26" s="25">
        <v>2004</v>
      </c>
      <c r="B26" s="75">
        <v>20000</v>
      </c>
      <c r="C26" s="72">
        <v>90</v>
      </c>
      <c r="D26" s="72">
        <v>377</v>
      </c>
      <c r="E26" s="75">
        <v>74433</v>
      </c>
      <c r="F26" s="75">
        <v>76321</v>
      </c>
      <c r="G26" s="75">
        <v>171221</v>
      </c>
      <c r="H26" s="72">
        <v>268</v>
      </c>
      <c r="I26" s="72">
        <v>1</v>
      </c>
      <c r="J26" s="72">
        <v>217</v>
      </c>
      <c r="K26" s="72">
        <v>714</v>
      </c>
      <c r="L26" s="72">
        <v>692</v>
      </c>
      <c r="M26" s="75">
        <v>1892</v>
      </c>
    </row>
    <row r="27" spans="1:13" x14ac:dyDescent="0.2">
      <c r="A27" s="25">
        <v>2005</v>
      </c>
      <c r="B27" s="75">
        <v>21599</v>
      </c>
      <c r="C27" s="72">
        <v>241</v>
      </c>
      <c r="D27" s="72">
        <v>743</v>
      </c>
      <c r="E27" s="75">
        <v>66290</v>
      </c>
      <c r="F27" s="75">
        <v>45496</v>
      </c>
      <c r="G27" s="75">
        <v>134369</v>
      </c>
      <c r="H27" s="72">
        <v>259</v>
      </c>
      <c r="I27" s="72">
        <v>3</v>
      </c>
      <c r="J27" s="72">
        <v>184</v>
      </c>
      <c r="K27" s="72">
        <v>669</v>
      </c>
      <c r="L27" s="72">
        <v>593</v>
      </c>
      <c r="M27" s="75">
        <v>1708</v>
      </c>
    </row>
    <row r="28" spans="1:13" x14ac:dyDescent="0.2">
      <c r="A28" s="25">
        <v>2006</v>
      </c>
      <c r="B28" s="75">
        <v>20376</v>
      </c>
      <c r="C28" s="72">
        <v>252</v>
      </c>
      <c r="D28" s="75">
        <v>3069</v>
      </c>
      <c r="E28" s="75">
        <v>95057</v>
      </c>
      <c r="F28" s="75">
        <v>63587</v>
      </c>
      <c r="G28" s="75">
        <v>182340</v>
      </c>
      <c r="H28" s="72">
        <v>808</v>
      </c>
      <c r="I28" s="72">
        <v>10</v>
      </c>
      <c r="J28" s="72">
        <v>294</v>
      </c>
      <c r="K28" s="75">
        <v>2491</v>
      </c>
      <c r="L28" s="75">
        <v>2241</v>
      </c>
      <c r="M28" s="75">
        <v>5844</v>
      </c>
    </row>
    <row r="29" spans="1:13" x14ac:dyDescent="0.2">
      <c r="A29" s="25">
        <v>2007</v>
      </c>
      <c r="B29" s="75">
        <v>15130</v>
      </c>
      <c r="C29" s="72">
        <v>337</v>
      </c>
      <c r="D29" s="75">
        <v>2817</v>
      </c>
      <c r="E29" s="75">
        <v>65645</v>
      </c>
      <c r="F29" s="75">
        <v>61387</v>
      </c>
      <c r="G29" s="75">
        <v>145315</v>
      </c>
      <c r="H29" s="75">
        <v>1618</v>
      </c>
      <c r="I29" s="72">
        <v>39</v>
      </c>
      <c r="J29" s="72">
        <v>799</v>
      </c>
      <c r="K29" s="75">
        <v>3188</v>
      </c>
      <c r="L29" s="75">
        <v>3742</v>
      </c>
      <c r="M29" s="75">
        <v>9387</v>
      </c>
    </row>
    <row r="30" spans="1:13" x14ac:dyDescent="0.2">
      <c r="A30" s="25">
        <v>2008</v>
      </c>
      <c r="B30" s="75">
        <v>17434</v>
      </c>
      <c r="C30" s="72">
        <v>9</v>
      </c>
      <c r="D30" s="75">
        <v>2540</v>
      </c>
      <c r="E30" s="75">
        <v>79683</v>
      </c>
      <c r="F30" s="75">
        <v>63905</v>
      </c>
      <c r="G30" s="75">
        <v>163571</v>
      </c>
      <c r="H30" s="75">
        <v>1928</v>
      </c>
      <c r="I30" s="72">
        <v>1</v>
      </c>
      <c r="J30" s="75">
        <v>1300</v>
      </c>
      <c r="K30" s="75">
        <v>4167</v>
      </c>
      <c r="L30" s="75">
        <v>11787</v>
      </c>
      <c r="M30" s="75">
        <v>19183</v>
      </c>
    </row>
    <row r="31" spans="1:13" x14ac:dyDescent="0.2">
      <c r="A31" s="25">
        <v>2009</v>
      </c>
      <c r="B31" s="75">
        <v>10980</v>
      </c>
      <c r="C31" s="72">
        <v>172</v>
      </c>
      <c r="D31" s="72">
        <v>720</v>
      </c>
      <c r="E31" s="75">
        <v>86569</v>
      </c>
      <c r="F31" s="75">
        <v>35984</v>
      </c>
      <c r="G31" s="75">
        <v>134425</v>
      </c>
      <c r="H31" s="72">
        <v>81</v>
      </c>
      <c r="I31" s="72">
        <v>2</v>
      </c>
      <c r="J31" s="72">
        <v>129</v>
      </c>
      <c r="K31" s="72">
        <v>353</v>
      </c>
      <c r="L31" s="72">
        <v>248</v>
      </c>
      <c r="M31" s="72">
        <v>813</v>
      </c>
    </row>
    <row r="32" spans="1:13" x14ac:dyDescent="0.2">
      <c r="A32" s="25">
        <v>2010</v>
      </c>
      <c r="B32" s="75">
        <v>19734</v>
      </c>
      <c r="C32" s="72">
        <v>287</v>
      </c>
      <c r="D32" s="75">
        <v>1119</v>
      </c>
      <c r="E32" s="75">
        <v>55430</v>
      </c>
      <c r="F32" s="75">
        <v>45824</v>
      </c>
      <c r="G32" s="75">
        <v>122394</v>
      </c>
      <c r="H32" s="72">
        <v>630</v>
      </c>
      <c r="I32" s="72">
        <v>10</v>
      </c>
      <c r="J32" s="72">
        <v>281</v>
      </c>
      <c r="K32" s="75">
        <v>1009</v>
      </c>
      <c r="L32" s="72">
        <v>943</v>
      </c>
      <c r="M32" s="75">
        <v>2873</v>
      </c>
    </row>
    <row r="33" spans="1:13" x14ac:dyDescent="0.2">
      <c r="A33" s="25">
        <v>2011</v>
      </c>
      <c r="B33" s="75">
        <v>22259</v>
      </c>
      <c r="C33" s="72">
        <v>480</v>
      </c>
      <c r="D33" s="72">
        <v>958</v>
      </c>
      <c r="E33" s="75">
        <v>71081</v>
      </c>
      <c r="F33" s="75">
        <v>66113</v>
      </c>
      <c r="G33" s="75">
        <v>160891</v>
      </c>
      <c r="H33" s="75">
        <v>1762</v>
      </c>
      <c r="I33" s="72">
        <v>41</v>
      </c>
      <c r="J33" s="72">
        <v>342</v>
      </c>
      <c r="K33" s="75">
        <v>2362</v>
      </c>
      <c r="L33" s="75">
        <v>5691</v>
      </c>
      <c r="M33" s="75">
        <v>10198</v>
      </c>
    </row>
    <row r="34" spans="1:13" x14ac:dyDescent="0.2">
      <c r="A34" s="25">
        <v>2012</v>
      </c>
      <c r="B34" s="75">
        <v>26980</v>
      </c>
      <c r="C34" s="72">
        <v>5</v>
      </c>
      <c r="D34" s="72">
        <v>930</v>
      </c>
      <c r="E34" s="75">
        <v>74004</v>
      </c>
      <c r="F34" s="75">
        <v>46559</v>
      </c>
      <c r="G34" s="75">
        <v>148478</v>
      </c>
      <c r="H34" s="75">
        <v>3127</v>
      </c>
      <c r="I34" s="72">
        <v>1</v>
      </c>
      <c r="J34" s="72">
        <v>520</v>
      </c>
      <c r="K34" s="75">
        <v>6735</v>
      </c>
      <c r="L34" s="75">
        <v>4177</v>
      </c>
      <c r="M34" s="75">
        <v>14560</v>
      </c>
    </row>
    <row r="35" spans="1:13" x14ac:dyDescent="0.2">
      <c r="A35" s="25">
        <v>2013</v>
      </c>
      <c r="B35" s="75">
        <v>21182</v>
      </c>
      <c r="C35" s="72">
        <v>0</v>
      </c>
      <c r="D35" s="72">
        <v>704</v>
      </c>
      <c r="E35" s="75">
        <v>55400</v>
      </c>
      <c r="F35" s="75">
        <v>86773</v>
      </c>
      <c r="G35" s="75">
        <v>164059</v>
      </c>
      <c r="H35" s="75">
        <v>3990</v>
      </c>
      <c r="I35" s="72">
        <v>0</v>
      </c>
      <c r="J35" s="72">
        <v>596</v>
      </c>
      <c r="K35" s="75">
        <v>4729</v>
      </c>
      <c r="L35" s="75">
        <v>13371</v>
      </c>
      <c r="M35" s="75">
        <v>22687</v>
      </c>
    </row>
    <row r="36" spans="1:13" x14ac:dyDescent="0.2">
      <c r="A36" s="25">
        <v>2014</v>
      </c>
      <c r="B36" s="75">
        <v>17318</v>
      </c>
      <c r="C36" s="72">
        <v>8</v>
      </c>
      <c r="D36" s="72">
        <v>588</v>
      </c>
      <c r="E36" s="75">
        <v>52993</v>
      </c>
      <c r="F36" s="75">
        <v>32306</v>
      </c>
      <c r="G36" s="75">
        <v>103213</v>
      </c>
      <c r="H36" s="72">
        <v>468</v>
      </c>
      <c r="I36" s="72">
        <v>0</v>
      </c>
      <c r="J36" s="72">
        <v>321</v>
      </c>
      <c r="K36" s="72">
        <v>893</v>
      </c>
      <c r="L36" s="72">
        <v>919</v>
      </c>
      <c r="M36" s="75">
        <v>2602</v>
      </c>
    </row>
    <row r="37" spans="1:13" x14ac:dyDescent="0.2">
      <c r="A37" s="25">
        <v>2015</v>
      </c>
      <c r="B37" s="75">
        <v>19676</v>
      </c>
      <c r="C37" s="72">
        <v>49</v>
      </c>
      <c r="D37" s="72">
        <v>338</v>
      </c>
      <c r="E37" s="75">
        <v>103628</v>
      </c>
      <c r="F37" s="75">
        <v>41852</v>
      </c>
      <c r="G37" s="75">
        <v>165542</v>
      </c>
      <c r="H37" s="72">
        <v>124</v>
      </c>
      <c r="I37" s="72">
        <v>0</v>
      </c>
      <c r="J37" s="72">
        <v>260</v>
      </c>
      <c r="K37" s="72">
        <v>669</v>
      </c>
      <c r="L37" s="72">
        <v>202</v>
      </c>
      <c r="M37" s="75">
        <v>1255</v>
      </c>
    </row>
    <row r="38" spans="1:13" x14ac:dyDescent="0.2">
      <c r="A38" s="25">
        <v>2016</v>
      </c>
      <c r="B38" s="75">
        <v>33282</v>
      </c>
      <c r="C38" s="72">
        <v>109</v>
      </c>
      <c r="D38" s="75">
        <v>1402</v>
      </c>
      <c r="E38" s="75">
        <v>103056</v>
      </c>
      <c r="F38" s="75">
        <v>68031</v>
      </c>
      <c r="G38" s="75">
        <v>205880</v>
      </c>
      <c r="H38" s="75">
        <v>4029</v>
      </c>
      <c r="I38" s="72">
        <v>14</v>
      </c>
      <c r="J38" s="72">
        <v>275</v>
      </c>
      <c r="K38" s="75">
        <v>9069</v>
      </c>
      <c r="L38" s="75">
        <v>6843</v>
      </c>
      <c r="M38" s="75">
        <v>20230</v>
      </c>
    </row>
    <row r="39" spans="1:13" x14ac:dyDescent="0.2">
      <c r="A39" s="25">
        <v>2017</v>
      </c>
      <c r="B39" s="75">
        <v>27552</v>
      </c>
      <c r="C39" s="72">
        <v>0</v>
      </c>
      <c r="D39" s="75">
        <v>1421</v>
      </c>
      <c r="E39" s="75">
        <v>71925</v>
      </c>
      <c r="F39" s="75">
        <v>68480</v>
      </c>
      <c r="G39" s="75">
        <v>169379</v>
      </c>
      <c r="H39" s="75">
        <v>2827</v>
      </c>
      <c r="I39" s="72">
        <v>0</v>
      </c>
      <c r="J39" s="72">
        <v>295</v>
      </c>
      <c r="K39" s="75">
        <v>5214</v>
      </c>
      <c r="L39" s="75">
        <v>6123</v>
      </c>
      <c r="M39" s="75">
        <v>14459</v>
      </c>
    </row>
    <row r="40" spans="1:13" x14ac:dyDescent="0.2">
      <c r="A40" s="25">
        <v>2018</v>
      </c>
      <c r="B40" s="75">
        <v>17038</v>
      </c>
      <c r="C40" s="72">
        <v>0</v>
      </c>
      <c r="D40" s="72">
        <v>927</v>
      </c>
      <c r="E40" s="75">
        <v>81115</v>
      </c>
      <c r="F40" s="75">
        <v>25999</v>
      </c>
      <c r="G40" s="75">
        <v>125078</v>
      </c>
      <c r="H40" s="72">
        <v>924</v>
      </c>
      <c r="I40" s="72">
        <v>0</v>
      </c>
      <c r="J40" s="72">
        <v>377</v>
      </c>
      <c r="K40" s="75">
        <v>2376</v>
      </c>
      <c r="L40" s="75">
        <v>1516</v>
      </c>
      <c r="M40" s="75">
        <v>5193</v>
      </c>
    </row>
    <row r="41" spans="1:13" x14ac:dyDescent="0.2">
      <c r="A41" s="25">
        <v>2019</v>
      </c>
      <c r="B41" s="75">
        <v>21055</v>
      </c>
      <c r="C41" s="72">
        <v>0</v>
      </c>
      <c r="D41" s="72">
        <v>869</v>
      </c>
      <c r="E41" s="75">
        <v>76213</v>
      </c>
      <c r="F41" s="75">
        <v>66953</v>
      </c>
      <c r="G41" s="75">
        <v>165090</v>
      </c>
      <c r="H41" s="72">
        <v>426</v>
      </c>
      <c r="I41" s="72">
        <v>0</v>
      </c>
      <c r="J41" s="72">
        <v>597</v>
      </c>
      <c r="K41" s="75">
        <v>1798</v>
      </c>
      <c r="L41" s="75">
        <v>1273</v>
      </c>
      <c r="M41" s="75">
        <v>4094</v>
      </c>
    </row>
    <row r="42" spans="1:13" x14ac:dyDescent="0.2">
      <c r="A42" s="25">
        <v>2020</v>
      </c>
      <c r="B42" s="75">
        <v>11373</v>
      </c>
      <c r="C42" s="72">
        <v>0</v>
      </c>
      <c r="D42" s="75">
        <v>1138</v>
      </c>
      <c r="E42" s="75">
        <v>108206</v>
      </c>
      <c r="F42" s="75">
        <v>9189</v>
      </c>
      <c r="G42" s="75">
        <v>129906</v>
      </c>
      <c r="H42" s="72">
        <v>407</v>
      </c>
      <c r="I42" s="72">
        <v>0</v>
      </c>
      <c r="J42" s="72">
        <v>251</v>
      </c>
      <c r="K42" s="75">
        <v>1117</v>
      </c>
      <c r="L42" s="72">
        <v>283</v>
      </c>
      <c r="M42" s="75">
        <v>2057</v>
      </c>
    </row>
    <row r="43" spans="1:13" x14ac:dyDescent="0.2">
      <c r="A43" s="25">
        <v>2021</v>
      </c>
      <c r="B43" s="75">
        <v>17187</v>
      </c>
      <c r="C43" s="72">
        <v>0</v>
      </c>
      <c r="D43" s="75">
        <v>1817</v>
      </c>
      <c r="E43" s="75">
        <v>145684</v>
      </c>
      <c r="F43" s="75">
        <v>36225</v>
      </c>
      <c r="G43" s="75">
        <v>200913</v>
      </c>
      <c r="H43" s="75">
        <v>1298</v>
      </c>
      <c r="I43" s="72">
        <v>0</v>
      </c>
      <c r="J43" s="72">
        <v>465</v>
      </c>
      <c r="K43" s="75">
        <v>7559</v>
      </c>
      <c r="L43" s="75">
        <v>2560</v>
      </c>
      <c r="M43" s="75">
        <v>11882</v>
      </c>
    </row>
    <row r="44" spans="1:13" x14ac:dyDescent="0.2">
      <c r="A44" s="25">
        <v>2022</v>
      </c>
      <c r="B44" s="75">
        <v>24029</v>
      </c>
      <c r="C44" s="72">
        <v>0</v>
      </c>
      <c r="D44" s="75">
        <v>1481</v>
      </c>
      <c r="E44" s="75">
        <v>83201</v>
      </c>
      <c r="F44" s="75">
        <v>78135</v>
      </c>
      <c r="G44" s="75">
        <v>186845</v>
      </c>
      <c r="H44" s="75">
        <v>3575</v>
      </c>
      <c r="I44" s="72">
        <v>0</v>
      </c>
      <c r="J44" s="72">
        <v>401</v>
      </c>
      <c r="K44" s="75">
        <v>7196</v>
      </c>
      <c r="L44" s="75">
        <v>12028</v>
      </c>
      <c r="M44" s="75">
        <v>23200</v>
      </c>
    </row>
    <row r="45" spans="1:13" x14ac:dyDescent="0.2">
      <c r="A45" s="25">
        <v>2023</v>
      </c>
      <c r="B45" s="75">
        <v>15131</v>
      </c>
      <c r="C45" s="72">
        <v>0</v>
      </c>
      <c r="D45" s="75">
        <v>1241</v>
      </c>
      <c r="E45" s="75">
        <v>96044</v>
      </c>
      <c r="F45" s="75">
        <v>48062</v>
      </c>
      <c r="G45" s="75">
        <v>160477</v>
      </c>
      <c r="H45" s="75">
        <v>1909</v>
      </c>
      <c r="I45" s="72">
        <v>0</v>
      </c>
      <c r="J45" s="72">
        <v>537</v>
      </c>
      <c r="K45" s="75">
        <v>5474</v>
      </c>
      <c r="L45" s="75">
        <v>3606</v>
      </c>
      <c r="M45" s="75">
        <v>11526</v>
      </c>
    </row>
    <row r="46" spans="1:13" x14ac:dyDescent="0.2">
      <c r="A46" s="23">
        <v>2024</v>
      </c>
      <c r="B46" s="70">
        <v>18510</v>
      </c>
      <c r="C46" s="71">
        <v>0</v>
      </c>
      <c r="D46" s="70">
        <v>1453</v>
      </c>
      <c r="E46" s="70">
        <v>109527</v>
      </c>
      <c r="F46" s="70">
        <v>59747</v>
      </c>
      <c r="G46" s="70">
        <v>189237</v>
      </c>
      <c r="H46" s="70">
        <v>1344</v>
      </c>
      <c r="I46" s="71">
        <v>0</v>
      </c>
      <c r="J46" s="71">
        <v>654</v>
      </c>
      <c r="K46" s="70">
        <v>3144</v>
      </c>
      <c r="L46" s="70">
        <v>3269</v>
      </c>
      <c r="M46" s="70">
        <v>8411</v>
      </c>
    </row>
    <row r="47" spans="1:13" x14ac:dyDescent="0.2">
      <c r="A47" s="211" t="s">
        <v>24</v>
      </c>
      <c r="B47" s="21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13" x14ac:dyDescent="0.2">
      <c r="A48" s="76" t="s">
        <v>301</v>
      </c>
      <c r="B48" s="75">
        <v>23196</v>
      </c>
      <c r="C48" s="72">
        <v>111</v>
      </c>
      <c r="D48" s="75">
        <v>1332</v>
      </c>
      <c r="E48" s="75">
        <v>78256</v>
      </c>
      <c r="F48" s="75">
        <v>72538</v>
      </c>
      <c r="G48" s="75">
        <v>175433</v>
      </c>
      <c r="H48" s="75">
        <v>1267</v>
      </c>
      <c r="I48" s="72">
        <v>5</v>
      </c>
      <c r="J48" s="72">
        <v>355</v>
      </c>
      <c r="K48" s="75">
        <v>2714</v>
      </c>
      <c r="L48" s="75">
        <v>3558</v>
      </c>
      <c r="M48" s="75">
        <v>7899</v>
      </c>
    </row>
    <row r="49" spans="1:13" x14ac:dyDescent="0.2">
      <c r="A49" s="77" t="s">
        <v>302</v>
      </c>
      <c r="B49" s="70">
        <v>20364</v>
      </c>
      <c r="C49" s="71">
        <v>17</v>
      </c>
      <c r="D49" s="70">
        <v>1122</v>
      </c>
      <c r="E49" s="70">
        <v>92206</v>
      </c>
      <c r="F49" s="70">
        <v>47523</v>
      </c>
      <c r="G49" s="70">
        <v>161232</v>
      </c>
      <c r="H49" s="70">
        <v>1599</v>
      </c>
      <c r="I49" s="71">
        <v>1</v>
      </c>
      <c r="J49" s="71">
        <v>378</v>
      </c>
      <c r="K49" s="70">
        <v>4136</v>
      </c>
      <c r="L49" s="70">
        <v>3535</v>
      </c>
      <c r="M49" s="70">
        <v>9650</v>
      </c>
    </row>
  </sheetData>
  <mergeCells count="7">
    <mergeCell ref="A47:B47"/>
    <mergeCell ref="A1:M1"/>
    <mergeCell ref="B3:G3"/>
    <mergeCell ref="H3:M3"/>
    <mergeCell ref="B4:C4"/>
    <mergeCell ref="H4:I4"/>
    <mergeCell ref="A2:B2"/>
  </mergeCell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3"/>
  <sheetViews>
    <sheetView topLeftCell="A25" workbookViewId="0">
      <selection activeCell="B50" sqref="B50"/>
    </sheetView>
  </sheetViews>
  <sheetFormatPr baseColWidth="10" defaultColWidth="8.83203125" defaultRowHeight="15" x14ac:dyDescent="0.2"/>
  <sheetData>
    <row r="1" spans="1:10" x14ac:dyDescent="0.2">
      <c r="A1" s="218" t="s">
        <v>259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0" x14ac:dyDescent="0.2">
      <c r="A2" s="81" t="s">
        <v>158</v>
      </c>
      <c r="B2" s="81"/>
      <c r="C2" s="29"/>
      <c r="D2" s="29"/>
      <c r="E2" s="29"/>
      <c r="F2" s="29"/>
      <c r="G2" s="29"/>
      <c r="H2" s="29"/>
      <c r="I2" s="82"/>
      <c r="J2" s="82"/>
    </row>
    <row r="3" spans="1:10" x14ac:dyDescent="0.2">
      <c r="A3" s="22"/>
      <c r="B3" s="21" t="s">
        <v>159</v>
      </c>
      <c r="C3" s="21" t="s">
        <v>130</v>
      </c>
      <c r="D3" s="21"/>
      <c r="E3" s="21"/>
      <c r="F3" s="21"/>
      <c r="G3" s="21"/>
      <c r="H3" s="30"/>
    </row>
    <row r="4" spans="1:10" x14ac:dyDescent="0.2">
      <c r="A4" s="22"/>
      <c r="B4" s="21" t="s">
        <v>160</v>
      </c>
      <c r="C4" s="21" t="s">
        <v>52</v>
      </c>
      <c r="D4" s="21"/>
      <c r="E4" s="21"/>
      <c r="F4" s="21"/>
      <c r="G4" s="21"/>
      <c r="H4" s="30"/>
    </row>
    <row r="5" spans="1:10" x14ac:dyDescent="0.2">
      <c r="A5" s="23" t="s">
        <v>10</v>
      </c>
      <c r="B5" s="19" t="s">
        <v>86</v>
      </c>
      <c r="C5" s="19" t="s">
        <v>86</v>
      </c>
      <c r="D5" s="21"/>
      <c r="E5" s="21"/>
      <c r="F5" s="21"/>
      <c r="G5" s="21"/>
      <c r="H5" s="30"/>
    </row>
    <row r="6" spans="1:10" x14ac:dyDescent="0.2">
      <c r="A6" s="25">
        <v>1980</v>
      </c>
      <c r="B6" s="27">
        <v>1658</v>
      </c>
      <c r="C6" s="21"/>
      <c r="D6" s="21"/>
      <c r="E6" s="21"/>
      <c r="F6" s="21"/>
      <c r="G6" s="21"/>
      <c r="H6" s="30"/>
    </row>
    <row r="7" spans="1:10" x14ac:dyDescent="0.2">
      <c r="A7" s="25">
        <v>1981</v>
      </c>
      <c r="B7" s="27">
        <v>2299</v>
      </c>
      <c r="C7" s="21"/>
      <c r="D7" s="21"/>
      <c r="E7" s="21"/>
      <c r="F7" s="21"/>
      <c r="G7" s="21"/>
      <c r="H7" s="30"/>
    </row>
    <row r="8" spans="1:10" x14ac:dyDescent="0.2">
      <c r="A8" s="214">
        <v>1982</v>
      </c>
      <c r="B8" s="214"/>
      <c r="C8" s="21"/>
      <c r="D8" s="21"/>
      <c r="E8" s="21"/>
      <c r="F8" s="21"/>
      <c r="G8" s="21"/>
      <c r="H8" s="30"/>
    </row>
    <row r="9" spans="1:10" x14ac:dyDescent="0.2">
      <c r="A9" s="214">
        <v>1983</v>
      </c>
      <c r="B9" s="214"/>
      <c r="C9" s="21"/>
      <c r="D9" s="21"/>
      <c r="E9" s="21"/>
      <c r="F9" s="21"/>
      <c r="G9" s="21"/>
      <c r="H9" s="30"/>
    </row>
    <row r="10" spans="1:10" x14ac:dyDescent="0.2">
      <c r="A10" s="214">
        <v>1984</v>
      </c>
      <c r="B10" s="214"/>
      <c r="C10" s="21"/>
      <c r="D10" s="21"/>
      <c r="E10" s="21"/>
      <c r="F10" s="21"/>
      <c r="G10" s="21"/>
      <c r="H10" s="30"/>
    </row>
    <row r="11" spans="1:10" x14ac:dyDescent="0.2">
      <c r="A11" s="214">
        <v>1985</v>
      </c>
      <c r="B11" s="214"/>
      <c r="C11" s="21"/>
      <c r="D11" s="21"/>
      <c r="E11" s="21"/>
      <c r="F11" s="21"/>
      <c r="G11" s="21"/>
      <c r="H11" s="30"/>
    </row>
    <row r="12" spans="1:10" x14ac:dyDescent="0.2">
      <c r="A12" s="214">
        <v>1986</v>
      </c>
      <c r="B12" s="214"/>
      <c r="C12" s="21"/>
      <c r="D12" s="21"/>
      <c r="E12" s="21"/>
      <c r="F12" s="21"/>
      <c r="G12" s="21"/>
      <c r="H12" s="30"/>
    </row>
    <row r="13" spans="1:10" x14ac:dyDescent="0.2">
      <c r="A13" s="214">
        <v>1987</v>
      </c>
      <c r="B13" s="214"/>
      <c r="C13" s="21"/>
      <c r="D13" s="21"/>
      <c r="E13" s="21"/>
      <c r="F13" s="21"/>
      <c r="G13" s="21"/>
      <c r="H13" s="30"/>
    </row>
    <row r="14" spans="1:10" x14ac:dyDescent="0.2">
      <c r="A14" s="214">
        <v>1988</v>
      </c>
      <c r="B14" s="214"/>
      <c r="C14" s="78">
        <v>138</v>
      </c>
      <c r="D14" s="21"/>
      <c r="E14" s="21"/>
      <c r="F14" s="21"/>
      <c r="G14" s="21"/>
      <c r="H14" s="30"/>
    </row>
    <row r="15" spans="1:10" x14ac:dyDescent="0.2">
      <c r="A15" s="214">
        <v>1989</v>
      </c>
      <c r="B15" s="214"/>
      <c r="C15" s="21"/>
      <c r="D15" s="21"/>
      <c r="E15" s="21"/>
      <c r="F15" s="21"/>
      <c r="G15" s="21"/>
      <c r="H15" s="30"/>
    </row>
    <row r="16" spans="1:10" x14ac:dyDescent="0.2">
      <c r="A16" s="214">
        <v>1990</v>
      </c>
      <c r="B16" s="214"/>
      <c r="C16" s="27">
        <v>2515</v>
      </c>
      <c r="D16" s="21"/>
      <c r="E16" s="21"/>
      <c r="F16" s="21"/>
      <c r="G16" s="21"/>
      <c r="H16" s="30"/>
    </row>
    <row r="17" spans="1:8" x14ac:dyDescent="0.2">
      <c r="A17" s="214">
        <v>1991</v>
      </c>
      <c r="B17" s="214"/>
      <c r="C17" s="21"/>
      <c r="D17" s="21"/>
      <c r="E17" s="21"/>
      <c r="F17" s="21"/>
      <c r="G17" s="21"/>
      <c r="H17" s="30"/>
    </row>
    <row r="18" spans="1:8" x14ac:dyDescent="0.2">
      <c r="A18" s="25">
        <v>1992</v>
      </c>
      <c r="B18" s="79">
        <v>1457</v>
      </c>
      <c r="C18" s="78">
        <v>297</v>
      </c>
      <c r="D18" s="21"/>
      <c r="E18" s="21"/>
      <c r="F18" s="21"/>
      <c r="G18" s="21"/>
      <c r="H18" s="30"/>
    </row>
    <row r="19" spans="1:8" x14ac:dyDescent="0.2">
      <c r="A19" s="25">
        <v>1993</v>
      </c>
      <c r="B19" s="79">
        <v>6312</v>
      </c>
      <c r="C19" s="27">
        <v>2463</v>
      </c>
      <c r="D19" s="21"/>
      <c r="E19" s="21"/>
      <c r="F19" s="21"/>
      <c r="G19" s="21"/>
      <c r="H19" s="30"/>
    </row>
    <row r="20" spans="1:8" x14ac:dyDescent="0.2">
      <c r="A20" s="25">
        <v>1994</v>
      </c>
      <c r="B20" s="27">
        <v>5427</v>
      </c>
      <c r="C20" s="21">
        <v>960</v>
      </c>
      <c r="D20" s="21"/>
      <c r="E20" s="21"/>
      <c r="F20" s="21"/>
      <c r="G20" s="21"/>
      <c r="H20" s="30"/>
    </row>
    <row r="21" spans="1:8" x14ac:dyDescent="0.2">
      <c r="A21" s="25">
        <v>1995</v>
      </c>
      <c r="B21" s="27">
        <v>3310</v>
      </c>
      <c r="C21" s="27">
        <v>3711</v>
      </c>
      <c r="D21" s="21"/>
      <c r="E21" s="21"/>
      <c r="F21" s="21"/>
      <c r="G21" s="21"/>
      <c r="H21" s="30"/>
    </row>
    <row r="22" spans="1:8" x14ac:dyDescent="0.2">
      <c r="A22" s="25">
        <v>1996</v>
      </c>
      <c r="B22" s="27">
        <v>4243</v>
      </c>
      <c r="C22" s="27">
        <v>2538</v>
      </c>
      <c r="D22" s="21"/>
      <c r="E22" s="21"/>
      <c r="F22" s="21"/>
      <c r="G22" s="21"/>
      <c r="H22" s="30"/>
    </row>
    <row r="23" spans="1:8" x14ac:dyDescent="0.2">
      <c r="A23" s="25">
        <v>1997</v>
      </c>
      <c r="B23" s="27">
        <v>5746</v>
      </c>
      <c r="C23" s="27">
        <v>1857</v>
      </c>
      <c r="D23" s="21"/>
      <c r="E23" s="21"/>
      <c r="F23" s="21"/>
      <c r="G23" s="21"/>
      <c r="H23" s="30"/>
    </row>
    <row r="24" spans="1:8" x14ac:dyDescent="0.2">
      <c r="A24" s="25">
        <v>1998</v>
      </c>
      <c r="B24" s="27">
        <v>1934</v>
      </c>
      <c r="C24" s="21">
        <v>345</v>
      </c>
      <c r="D24" s="21"/>
      <c r="E24" s="21"/>
      <c r="F24" s="21"/>
      <c r="G24" s="21"/>
      <c r="H24" s="30"/>
    </row>
    <row r="25" spans="1:8" x14ac:dyDescent="0.2">
      <c r="A25" s="25">
        <v>1999</v>
      </c>
      <c r="B25" s="27">
        <v>10042</v>
      </c>
      <c r="C25" s="21"/>
      <c r="D25" s="21"/>
      <c r="E25" s="21"/>
      <c r="F25" s="21"/>
      <c r="G25" s="21"/>
      <c r="H25" s="30"/>
    </row>
    <row r="26" spans="1:8" x14ac:dyDescent="0.2">
      <c r="A26" s="25">
        <v>2000</v>
      </c>
      <c r="B26" s="27">
        <v>4096</v>
      </c>
      <c r="C26" s="21"/>
      <c r="D26" s="21"/>
      <c r="E26" s="21"/>
      <c r="F26" s="21"/>
      <c r="G26" s="21"/>
      <c r="H26" s="30"/>
    </row>
    <row r="27" spans="1:8" x14ac:dyDescent="0.2">
      <c r="A27" s="25">
        <v>2001</v>
      </c>
      <c r="B27" s="27">
        <v>1663</v>
      </c>
      <c r="C27" s="21">
        <v>935</v>
      </c>
      <c r="D27" s="21"/>
      <c r="E27" s="21"/>
      <c r="F27" s="21"/>
      <c r="G27" s="21"/>
      <c r="H27" s="30"/>
    </row>
    <row r="28" spans="1:8" x14ac:dyDescent="0.2">
      <c r="A28" s="25">
        <v>2002</v>
      </c>
      <c r="B28" s="27">
        <v>7697</v>
      </c>
      <c r="C28" s="21"/>
      <c r="D28" s="21"/>
      <c r="E28" s="21"/>
      <c r="F28" s="21"/>
      <c r="G28" s="21"/>
      <c r="H28" s="30"/>
    </row>
    <row r="29" spans="1:8" x14ac:dyDescent="0.2">
      <c r="A29" s="25">
        <v>2003</v>
      </c>
      <c r="B29" s="27">
        <v>7769</v>
      </c>
      <c r="C29" s="21"/>
      <c r="D29" s="21"/>
      <c r="E29" s="21"/>
      <c r="F29" s="21"/>
      <c r="G29" s="21"/>
      <c r="H29" s="30"/>
    </row>
    <row r="30" spans="1:8" x14ac:dyDescent="0.2">
      <c r="A30" s="25">
        <v>2004</v>
      </c>
      <c r="B30" s="27">
        <v>1578</v>
      </c>
      <c r="C30" s="21"/>
      <c r="D30" s="21"/>
      <c r="E30" s="21"/>
      <c r="F30" s="21"/>
      <c r="G30" s="21"/>
      <c r="H30" s="30"/>
    </row>
    <row r="31" spans="1:8" x14ac:dyDescent="0.2">
      <c r="A31" s="25">
        <v>2005</v>
      </c>
      <c r="B31" s="27">
        <v>6004</v>
      </c>
      <c r="C31" s="21"/>
      <c r="D31" s="21"/>
      <c r="E31" s="21"/>
      <c r="F31" s="21"/>
      <c r="G31" s="21"/>
      <c r="H31" s="30"/>
    </row>
    <row r="32" spans="1:8" x14ac:dyDescent="0.2">
      <c r="A32" s="25">
        <v>2006</v>
      </c>
      <c r="B32" s="27">
        <v>1015</v>
      </c>
      <c r="C32" s="21"/>
      <c r="D32" s="21"/>
      <c r="E32" s="21"/>
      <c r="F32" s="21"/>
      <c r="G32" s="21"/>
      <c r="H32" s="30"/>
    </row>
    <row r="33" spans="1:8" x14ac:dyDescent="0.2">
      <c r="A33" s="25">
        <v>2007</v>
      </c>
      <c r="B33" s="21">
        <v>204</v>
      </c>
      <c r="C33" s="21"/>
      <c r="D33" s="21"/>
      <c r="E33" s="21"/>
      <c r="F33" s="21"/>
      <c r="G33" s="21"/>
      <c r="H33" s="30"/>
    </row>
    <row r="34" spans="1:8" x14ac:dyDescent="0.2">
      <c r="A34" s="25">
        <v>2008</v>
      </c>
      <c r="B34" s="27">
        <v>1547</v>
      </c>
      <c r="C34" s="21"/>
      <c r="D34" s="21"/>
      <c r="E34" s="21"/>
      <c r="F34" s="21"/>
      <c r="G34" s="21"/>
      <c r="H34" s="30"/>
    </row>
    <row r="35" spans="1:8" x14ac:dyDescent="0.2">
      <c r="A35" s="25">
        <v>2009</v>
      </c>
      <c r="B35" s="27">
        <v>1442</v>
      </c>
      <c r="C35" s="21"/>
      <c r="D35" s="21"/>
      <c r="E35" s="21"/>
      <c r="F35" s="21"/>
      <c r="G35" s="21"/>
      <c r="H35" s="30"/>
    </row>
    <row r="36" spans="1:8" x14ac:dyDescent="0.2">
      <c r="A36" s="25">
        <v>2010</v>
      </c>
      <c r="B36" s="27">
        <v>1626</v>
      </c>
      <c r="C36" s="21"/>
      <c r="D36" s="21"/>
      <c r="E36" s="21"/>
      <c r="F36" s="21"/>
      <c r="G36" s="21"/>
      <c r="H36" s="30"/>
    </row>
    <row r="37" spans="1:8" x14ac:dyDescent="0.2">
      <c r="A37" s="25">
        <v>2011</v>
      </c>
      <c r="B37" s="21">
        <v>811</v>
      </c>
      <c r="C37" s="21"/>
      <c r="D37" s="21"/>
      <c r="E37" s="22"/>
      <c r="F37" s="22"/>
      <c r="G37" s="21"/>
      <c r="H37" s="30"/>
    </row>
    <row r="38" spans="1:8" x14ac:dyDescent="0.2">
      <c r="A38" s="25">
        <v>2012</v>
      </c>
      <c r="B38" s="21">
        <v>182</v>
      </c>
      <c r="C38" s="21"/>
      <c r="D38" s="21"/>
      <c r="E38" s="22"/>
      <c r="F38" s="22"/>
      <c r="G38" s="21"/>
      <c r="H38" s="30"/>
    </row>
    <row r="39" spans="1:8" x14ac:dyDescent="0.2">
      <c r="A39" s="25">
        <v>2013</v>
      </c>
      <c r="B39" s="27">
        <v>1195</v>
      </c>
      <c r="C39" s="21"/>
      <c r="D39" s="21"/>
      <c r="E39" s="22"/>
      <c r="F39" s="22"/>
      <c r="G39" s="21"/>
      <c r="H39" s="30"/>
    </row>
    <row r="40" spans="1:8" x14ac:dyDescent="0.2">
      <c r="A40" s="25">
        <v>2014</v>
      </c>
      <c r="B40" s="21">
        <v>208</v>
      </c>
      <c r="C40" s="21"/>
      <c r="D40" s="21"/>
      <c r="E40" s="22"/>
      <c r="F40" s="22"/>
      <c r="G40" s="21"/>
      <c r="H40" s="30"/>
    </row>
    <row r="41" spans="1:8" x14ac:dyDescent="0.2">
      <c r="A41" s="25">
        <v>2015</v>
      </c>
      <c r="B41" s="21">
        <v>341</v>
      </c>
      <c r="C41" s="21"/>
      <c r="D41" s="21"/>
      <c r="E41" s="22"/>
      <c r="F41" s="22"/>
      <c r="G41" s="21"/>
      <c r="H41" s="30"/>
    </row>
    <row r="42" spans="1:8" x14ac:dyDescent="0.2">
      <c r="A42" s="25">
        <v>2016</v>
      </c>
      <c r="B42" s="27">
        <v>1476</v>
      </c>
      <c r="C42" s="21"/>
      <c r="D42" s="21"/>
      <c r="E42" s="22"/>
      <c r="F42" s="22"/>
      <c r="G42" s="21"/>
      <c r="H42" s="30"/>
    </row>
    <row r="43" spans="1:8" x14ac:dyDescent="0.2">
      <c r="A43" s="25">
        <v>2017</v>
      </c>
      <c r="B43" s="21">
        <v>299</v>
      </c>
      <c r="C43" s="21"/>
      <c r="D43" s="21"/>
      <c r="E43" s="21"/>
      <c r="F43" s="21"/>
      <c r="G43" s="21"/>
      <c r="H43" s="30"/>
    </row>
    <row r="44" spans="1:8" x14ac:dyDescent="0.2">
      <c r="A44" s="25">
        <v>2018</v>
      </c>
      <c r="B44" s="21">
        <v>13</v>
      </c>
      <c r="C44" s="21"/>
      <c r="D44" s="21"/>
      <c r="E44" s="21"/>
      <c r="F44" s="21"/>
      <c r="G44" s="21"/>
      <c r="H44" s="30"/>
    </row>
    <row r="45" spans="1:8" x14ac:dyDescent="0.2">
      <c r="A45" s="25">
        <v>2019</v>
      </c>
      <c r="B45" s="21">
        <v>605</v>
      </c>
      <c r="C45" s="21"/>
      <c r="D45" s="21"/>
      <c r="E45" s="21"/>
      <c r="F45" s="21"/>
      <c r="G45" s="21"/>
      <c r="H45" s="30"/>
    </row>
    <row r="46" spans="1:8" x14ac:dyDescent="0.2">
      <c r="A46" s="25">
        <v>2020</v>
      </c>
      <c r="B46" s="27">
        <v>4131</v>
      </c>
      <c r="C46" s="21"/>
      <c r="D46" s="21"/>
      <c r="E46" s="21"/>
      <c r="F46" s="21"/>
      <c r="G46" s="21"/>
      <c r="H46" s="30"/>
    </row>
    <row r="47" spans="1:8" x14ac:dyDescent="0.2">
      <c r="A47" s="25">
        <v>2021</v>
      </c>
      <c r="B47" s="21">
        <v>26</v>
      </c>
      <c r="C47" s="21"/>
      <c r="D47" s="21"/>
      <c r="E47" s="21"/>
      <c r="F47" s="21"/>
      <c r="G47" s="21"/>
      <c r="H47" s="30"/>
    </row>
    <row r="48" spans="1:8" x14ac:dyDescent="0.2">
      <c r="A48" s="25">
        <v>2022</v>
      </c>
      <c r="B48" s="27">
        <v>1084</v>
      </c>
      <c r="C48" s="21"/>
      <c r="D48" s="21"/>
      <c r="E48" s="21"/>
      <c r="F48" s="21"/>
      <c r="G48" s="21"/>
      <c r="H48" s="30"/>
    </row>
    <row r="49" spans="1:8" x14ac:dyDescent="0.2">
      <c r="A49" s="25">
        <v>2023</v>
      </c>
      <c r="B49" s="21">
        <v>125</v>
      </c>
      <c r="C49" s="21"/>
      <c r="D49" s="21"/>
      <c r="E49" s="21"/>
      <c r="F49" s="21"/>
      <c r="G49" s="21"/>
      <c r="H49" s="30"/>
    </row>
    <row r="50" spans="1:8" x14ac:dyDescent="0.2">
      <c r="A50" s="23">
        <v>2024</v>
      </c>
      <c r="B50" s="28">
        <v>13375</v>
      </c>
      <c r="C50" s="19"/>
      <c r="D50" s="21"/>
      <c r="E50" s="21"/>
      <c r="F50" s="21"/>
      <c r="G50" s="21"/>
      <c r="H50" s="30"/>
    </row>
    <row r="51" spans="1:8" x14ac:dyDescent="0.2">
      <c r="A51" s="211" t="s">
        <v>24</v>
      </c>
      <c r="B51" s="211"/>
      <c r="C51" s="21"/>
      <c r="D51" s="21"/>
      <c r="E51" s="21"/>
      <c r="F51" s="21"/>
      <c r="G51" s="21"/>
      <c r="H51" s="30"/>
    </row>
    <row r="52" spans="1:8" x14ac:dyDescent="0.2">
      <c r="A52" s="76" t="s">
        <v>303</v>
      </c>
      <c r="B52" s="75">
        <v>2939</v>
      </c>
      <c r="C52" s="72"/>
      <c r="D52" s="21"/>
      <c r="E52" s="21"/>
      <c r="F52" s="21"/>
      <c r="G52" s="21"/>
      <c r="H52" s="30"/>
    </row>
    <row r="53" spans="1:8" x14ac:dyDescent="0.2">
      <c r="A53" s="80" t="s">
        <v>302</v>
      </c>
      <c r="B53" s="71">
        <v>831</v>
      </c>
      <c r="C53" s="71"/>
      <c r="D53" s="21"/>
      <c r="E53" s="21"/>
      <c r="F53" s="21"/>
      <c r="G53" s="30"/>
      <c r="H53" s="30"/>
    </row>
  </sheetData>
  <mergeCells count="12">
    <mergeCell ref="A51:B51"/>
    <mergeCell ref="A1:J1"/>
    <mergeCell ref="A12:B1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18D1-CDEB-4AFA-9DBF-2CE535F0E5F6}">
  <dimension ref="A1:AE47"/>
  <sheetViews>
    <sheetView topLeftCell="A2" zoomScale="150" zoomScaleNormal="150" workbookViewId="0">
      <pane ySplit="5" topLeftCell="A36" activePane="bottomLeft" state="frozen"/>
      <selection activeCell="A2" sqref="A2"/>
      <selection pane="bottomLeft" activeCell="M43" sqref="M43"/>
    </sheetView>
  </sheetViews>
  <sheetFormatPr baseColWidth="10" defaultColWidth="8.83203125" defaultRowHeight="15" x14ac:dyDescent="0.2"/>
  <sheetData>
    <row r="1" spans="1:31" x14ac:dyDescent="0.2">
      <c r="A1" s="37" t="s">
        <v>358</v>
      </c>
      <c r="B1" s="37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x14ac:dyDescent="0.2">
      <c r="A2" s="34" t="s">
        <v>359</v>
      </c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x14ac:dyDescent="0.2">
      <c r="A3" s="37" t="s">
        <v>360</v>
      </c>
      <c r="B3" s="37"/>
      <c r="C3" s="14"/>
      <c r="D3" s="14"/>
      <c r="E3" s="14"/>
      <c r="F3" s="14"/>
      <c r="G3" s="14"/>
      <c r="H3" s="14"/>
      <c r="I3" s="14"/>
      <c r="J3" s="14"/>
      <c r="K3" s="14"/>
      <c r="L3" s="14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ht="17" x14ac:dyDescent="0.3">
      <c r="A4" s="15"/>
      <c r="B4" s="220" t="s">
        <v>112</v>
      </c>
      <c r="C4" s="220"/>
      <c r="D4" s="13"/>
      <c r="E4" s="13"/>
      <c r="F4" s="13"/>
      <c r="G4" s="13"/>
      <c r="H4" s="13"/>
      <c r="I4" s="220" t="s">
        <v>361</v>
      </c>
      <c r="J4" s="220"/>
      <c r="K4" s="220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ht="17" x14ac:dyDescent="0.3">
      <c r="A5" s="15"/>
      <c r="B5" s="13" t="s">
        <v>14</v>
      </c>
      <c r="C5" s="13" t="s">
        <v>362</v>
      </c>
      <c r="D5" s="221" t="s">
        <v>355</v>
      </c>
      <c r="E5" s="221"/>
      <c r="F5" s="13" t="s">
        <v>363</v>
      </c>
      <c r="G5" s="13" t="s">
        <v>3</v>
      </c>
      <c r="H5" s="13"/>
      <c r="I5" s="13" t="s">
        <v>4</v>
      </c>
      <c r="J5" s="13"/>
      <c r="K5" s="13" t="s">
        <v>64</v>
      </c>
      <c r="L5" s="13" t="s">
        <v>33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spans="1:31" x14ac:dyDescent="0.2">
      <c r="A6" s="16" t="s">
        <v>10</v>
      </c>
      <c r="B6" s="14" t="s">
        <v>120</v>
      </c>
      <c r="C6" s="14" t="s">
        <v>73</v>
      </c>
      <c r="D6" s="14" t="s">
        <v>116</v>
      </c>
      <c r="E6" s="14" t="s">
        <v>364</v>
      </c>
      <c r="F6" s="14" t="s">
        <v>120</v>
      </c>
      <c r="G6" s="14" t="s">
        <v>64</v>
      </c>
      <c r="H6" s="14" t="s">
        <v>365</v>
      </c>
      <c r="I6" s="14" t="s">
        <v>64</v>
      </c>
      <c r="J6" s="14" t="s">
        <v>14</v>
      </c>
      <c r="K6" s="14" t="s">
        <v>152</v>
      </c>
      <c r="L6" s="14" t="s">
        <v>14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1:31" x14ac:dyDescent="0.2">
      <c r="A7" s="15">
        <v>1987</v>
      </c>
      <c r="B7" s="182">
        <v>43750</v>
      </c>
      <c r="C7" s="183">
        <v>45920</v>
      </c>
      <c r="D7" s="15" t="s">
        <v>366</v>
      </c>
      <c r="E7" s="13">
        <v>1.42</v>
      </c>
      <c r="F7" s="184">
        <v>61976</v>
      </c>
      <c r="G7" s="184">
        <v>6519</v>
      </c>
      <c r="H7" s="184">
        <v>55457</v>
      </c>
      <c r="I7" s="185"/>
      <c r="J7" s="185"/>
      <c r="K7" s="18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x14ac:dyDescent="0.2">
      <c r="A8" s="15">
        <v>1988</v>
      </c>
      <c r="B8" s="186">
        <v>43093</v>
      </c>
      <c r="C8" s="183">
        <v>45918</v>
      </c>
      <c r="D8" s="15"/>
      <c r="E8" s="13">
        <v>1</v>
      </c>
      <c r="F8" s="184">
        <v>43093</v>
      </c>
      <c r="G8" s="184">
        <v>3643</v>
      </c>
      <c r="H8" s="184">
        <v>39450</v>
      </c>
      <c r="I8" s="185"/>
      <c r="J8" s="185"/>
      <c r="K8" s="18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spans="1:31" x14ac:dyDescent="0.2">
      <c r="A9" s="15">
        <v>1989</v>
      </c>
      <c r="B9" s="186">
        <v>60841</v>
      </c>
      <c r="C9" s="183">
        <v>45931</v>
      </c>
      <c r="D9" s="15"/>
      <c r="E9" s="13">
        <v>1</v>
      </c>
      <c r="F9" s="184">
        <v>60841</v>
      </c>
      <c r="G9" s="184">
        <v>4033</v>
      </c>
      <c r="H9" s="184">
        <v>56808</v>
      </c>
      <c r="I9" s="185"/>
      <c r="J9" s="185"/>
      <c r="K9" s="185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spans="1:31" x14ac:dyDescent="0.2">
      <c r="A10" s="15">
        <v>1990</v>
      </c>
      <c r="B10" s="186">
        <v>75881</v>
      </c>
      <c r="C10" s="13"/>
      <c r="D10" s="15"/>
      <c r="E10" s="13">
        <v>1</v>
      </c>
      <c r="F10" s="184">
        <v>75881</v>
      </c>
      <c r="G10" s="184">
        <v>3685</v>
      </c>
      <c r="H10" s="184">
        <v>72196</v>
      </c>
      <c r="I10" s="185"/>
      <c r="J10" s="185"/>
      <c r="K10" s="185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 x14ac:dyDescent="0.2">
      <c r="A11" s="15">
        <v>1991</v>
      </c>
      <c r="B11" s="186">
        <v>132923</v>
      </c>
      <c r="C11" s="13"/>
      <c r="D11" s="15"/>
      <c r="E11" s="13">
        <v>1</v>
      </c>
      <c r="F11" s="184">
        <v>132923</v>
      </c>
      <c r="G11" s="184">
        <v>5439</v>
      </c>
      <c r="H11" s="184">
        <v>127484</v>
      </c>
      <c r="I11" s="185"/>
      <c r="J11" s="185"/>
      <c r="K11" s="18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spans="1:31" x14ac:dyDescent="0.2">
      <c r="A12" s="15">
        <v>1992</v>
      </c>
      <c r="B12" s="186">
        <v>49928</v>
      </c>
      <c r="C12" s="183">
        <v>45905</v>
      </c>
      <c r="D12" s="15" t="s">
        <v>367</v>
      </c>
      <c r="E12" s="13">
        <v>1.79</v>
      </c>
      <c r="F12" s="184">
        <v>89270</v>
      </c>
      <c r="G12" s="184">
        <v>5541</v>
      </c>
      <c r="H12" s="184">
        <v>83729</v>
      </c>
      <c r="I12" s="184">
        <v>74745</v>
      </c>
      <c r="J12" s="184">
        <v>164015</v>
      </c>
      <c r="K12" s="185">
        <v>0.49</v>
      </c>
      <c r="L12" s="186">
        <v>212798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spans="1:31" x14ac:dyDescent="0.2">
      <c r="A13" s="15">
        <v>1993</v>
      </c>
      <c r="B13" s="186">
        <v>67448</v>
      </c>
      <c r="C13" s="183">
        <v>45911</v>
      </c>
      <c r="D13" s="15" t="s">
        <v>367</v>
      </c>
      <c r="E13" s="13">
        <v>1.84</v>
      </c>
      <c r="F13" s="184">
        <v>123964</v>
      </c>
      <c r="G13" s="184">
        <v>4634</v>
      </c>
      <c r="H13" s="184">
        <v>119330</v>
      </c>
      <c r="I13" s="184">
        <v>35703</v>
      </c>
      <c r="J13" s="184">
        <v>159667</v>
      </c>
      <c r="K13" s="185">
        <v>0.253</v>
      </c>
      <c r="L13" s="186">
        <v>249320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 x14ac:dyDescent="0.2">
      <c r="A14" s="15">
        <v>1994</v>
      </c>
      <c r="B14" s="186">
        <v>98643</v>
      </c>
      <c r="C14" s="183">
        <v>45924</v>
      </c>
      <c r="D14" s="15" t="s">
        <v>367</v>
      </c>
      <c r="E14" s="13">
        <v>1.1299999999999999</v>
      </c>
      <c r="F14" s="184">
        <v>111036</v>
      </c>
      <c r="G14" s="184">
        <v>14693</v>
      </c>
      <c r="H14" s="184">
        <v>96343</v>
      </c>
      <c r="I14" s="184">
        <v>101292</v>
      </c>
      <c r="J14" s="184">
        <v>212328</v>
      </c>
      <c r="K14" s="185">
        <v>0.54600000000000004</v>
      </c>
      <c r="L14" s="186">
        <v>339736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 x14ac:dyDescent="0.2">
      <c r="A15" s="15">
        <v>1995</v>
      </c>
      <c r="B15" s="186">
        <v>61738</v>
      </c>
      <c r="C15" s="183">
        <v>45930</v>
      </c>
      <c r="D15" s="15" t="s">
        <v>367</v>
      </c>
      <c r="E15" s="13">
        <v>1.1200000000000001</v>
      </c>
      <c r="F15" s="184">
        <v>69448</v>
      </c>
      <c r="G15" s="184">
        <v>13738</v>
      </c>
      <c r="H15" s="184">
        <v>55710</v>
      </c>
      <c r="I15" s="184">
        <v>59240</v>
      </c>
      <c r="J15" s="184">
        <v>128688</v>
      </c>
      <c r="K15" s="185">
        <v>0.56699999999999995</v>
      </c>
      <c r="L15" s="186">
        <v>181116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 x14ac:dyDescent="0.2">
      <c r="A16" s="15">
        <v>1996</v>
      </c>
      <c r="B16" s="186">
        <v>44172</v>
      </c>
      <c r="C16" s="183">
        <v>45928</v>
      </c>
      <c r="D16" s="15" t="s">
        <v>367</v>
      </c>
      <c r="E16" s="13">
        <v>1.1200000000000001</v>
      </c>
      <c r="F16" s="184">
        <v>49687</v>
      </c>
      <c r="G16" s="184">
        <v>5052</v>
      </c>
      <c r="H16" s="184">
        <v>44635</v>
      </c>
      <c r="I16" s="184">
        <v>17019</v>
      </c>
      <c r="J16" s="184">
        <v>66706</v>
      </c>
      <c r="K16" s="185">
        <v>0.33100000000000002</v>
      </c>
      <c r="L16" s="186">
        <v>94283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 x14ac:dyDescent="0.2">
      <c r="A17" s="15">
        <v>1997</v>
      </c>
      <c r="B17" s="186">
        <v>35035</v>
      </c>
      <c r="C17" s="183">
        <v>45927</v>
      </c>
      <c r="D17" s="15" t="s">
        <v>367</v>
      </c>
      <c r="E17" s="13">
        <v>1</v>
      </c>
      <c r="F17" s="184">
        <v>35035</v>
      </c>
      <c r="G17" s="184">
        <v>2690</v>
      </c>
      <c r="H17" s="184">
        <v>32345</v>
      </c>
      <c r="I17" s="184">
        <v>6479</v>
      </c>
      <c r="J17" s="184">
        <v>41514</v>
      </c>
      <c r="K17" s="185">
        <v>0.221</v>
      </c>
      <c r="L17" s="186">
        <v>50886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1:31" x14ac:dyDescent="0.2">
      <c r="A18" s="15">
        <v>1998</v>
      </c>
      <c r="B18" s="186">
        <v>49290</v>
      </c>
      <c r="C18" s="183">
        <v>45926</v>
      </c>
      <c r="D18" s="15" t="s">
        <v>367</v>
      </c>
      <c r="E18" s="13">
        <v>1.35</v>
      </c>
      <c r="F18" s="184">
        <v>66472</v>
      </c>
      <c r="G18" s="184">
        <v>5090</v>
      </c>
      <c r="H18" s="184">
        <v>61382</v>
      </c>
      <c r="I18" s="184">
        <v>17042</v>
      </c>
      <c r="J18" s="184">
        <v>83514</v>
      </c>
      <c r="K18" s="185">
        <v>0.26500000000000001</v>
      </c>
      <c r="L18" s="186">
        <v>119925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spans="1:31" x14ac:dyDescent="0.2">
      <c r="A19" s="15">
        <v>1999</v>
      </c>
      <c r="B19" s="186">
        <v>59052</v>
      </c>
      <c r="C19" s="183">
        <v>45933</v>
      </c>
      <c r="D19" s="15" t="s">
        <v>368</v>
      </c>
      <c r="E19" s="13">
        <v>1.1200000000000001</v>
      </c>
      <c r="F19" s="184">
        <v>66343</v>
      </c>
      <c r="G19" s="184">
        <v>5575</v>
      </c>
      <c r="H19" s="184">
        <v>60768</v>
      </c>
      <c r="I19" s="184">
        <v>9009</v>
      </c>
      <c r="J19" s="184">
        <v>75352</v>
      </c>
      <c r="K19" s="185">
        <v>0.19400000000000001</v>
      </c>
      <c r="L19" s="186">
        <v>117176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spans="1:31" x14ac:dyDescent="0.2">
      <c r="A20" s="15">
        <v>2000</v>
      </c>
      <c r="B20" s="186">
        <v>70147</v>
      </c>
      <c r="C20" s="183">
        <v>45932</v>
      </c>
      <c r="D20" s="15" t="s">
        <v>369</v>
      </c>
      <c r="E20" s="13">
        <v>1</v>
      </c>
      <c r="F20" s="184">
        <v>70147</v>
      </c>
      <c r="G20" s="184">
        <v>5447</v>
      </c>
      <c r="H20" s="184">
        <v>64700</v>
      </c>
      <c r="I20" s="184">
        <v>11520</v>
      </c>
      <c r="J20" s="184">
        <v>81667</v>
      </c>
      <c r="K20" s="185">
        <v>0.20799999999999999</v>
      </c>
      <c r="L20" s="186">
        <v>109148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spans="1:31" x14ac:dyDescent="0.2">
      <c r="A21" s="15">
        <v>2001</v>
      </c>
      <c r="B21" s="186">
        <v>107493</v>
      </c>
      <c r="C21" s="183">
        <v>45935</v>
      </c>
      <c r="D21" s="15" t="s">
        <v>369</v>
      </c>
      <c r="E21" s="13">
        <v>1</v>
      </c>
      <c r="F21" s="184">
        <v>107493</v>
      </c>
      <c r="G21" s="184">
        <v>3099</v>
      </c>
      <c r="H21" s="184">
        <v>104394</v>
      </c>
      <c r="I21" s="184">
        <v>11739</v>
      </c>
      <c r="J21" s="184">
        <v>119232</v>
      </c>
      <c r="K21" s="185">
        <v>0.124</v>
      </c>
      <c r="L21" s="186">
        <v>162777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spans="1:31" x14ac:dyDescent="0.2">
      <c r="A22" s="15">
        <v>2002</v>
      </c>
      <c r="B22" s="186">
        <v>223162</v>
      </c>
      <c r="C22" s="183">
        <v>45937</v>
      </c>
      <c r="D22" s="15" t="s">
        <v>369</v>
      </c>
      <c r="E22" s="13">
        <v>1</v>
      </c>
      <c r="F22" s="184">
        <v>223162</v>
      </c>
      <c r="G22" s="184">
        <v>3802</v>
      </c>
      <c r="H22" s="184">
        <v>219360</v>
      </c>
      <c r="I22" s="184">
        <v>33238</v>
      </c>
      <c r="J22" s="184">
        <v>256400</v>
      </c>
      <c r="K22" s="185">
        <v>0.14399999999999999</v>
      </c>
      <c r="L22" s="186">
        <v>303275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spans="1:31" x14ac:dyDescent="0.2">
      <c r="A23" s="15">
        <v>2003</v>
      </c>
      <c r="B23" s="186">
        <v>186755</v>
      </c>
      <c r="C23" s="183">
        <v>45938</v>
      </c>
      <c r="D23" s="15" t="s">
        <v>369</v>
      </c>
      <c r="E23" s="13">
        <v>1</v>
      </c>
      <c r="F23" s="184">
        <v>186755</v>
      </c>
      <c r="G23" s="184">
        <v>3643</v>
      </c>
      <c r="H23" s="184">
        <v>183112</v>
      </c>
      <c r="I23" s="184">
        <v>25139</v>
      </c>
      <c r="J23" s="184">
        <v>211894</v>
      </c>
      <c r="K23" s="185">
        <v>0.13600000000000001</v>
      </c>
      <c r="L23" s="186">
        <v>265090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spans="1:31" x14ac:dyDescent="0.2">
      <c r="A24" s="15">
        <v>2004</v>
      </c>
      <c r="B24" s="186">
        <v>139011</v>
      </c>
      <c r="C24" s="183">
        <v>45938</v>
      </c>
      <c r="D24" s="15" t="s">
        <v>369</v>
      </c>
      <c r="E24" s="13">
        <v>1</v>
      </c>
      <c r="F24" s="184">
        <v>139011</v>
      </c>
      <c r="G24" s="184">
        <v>9684</v>
      </c>
      <c r="H24" s="184">
        <v>129327</v>
      </c>
      <c r="I24" s="184">
        <v>25898</v>
      </c>
      <c r="J24" s="184">
        <v>164909</v>
      </c>
      <c r="K24" s="185">
        <v>0.216</v>
      </c>
      <c r="L24" s="186">
        <v>251537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spans="1:31" x14ac:dyDescent="0.2">
      <c r="A25" s="15">
        <v>2005</v>
      </c>
      <c r="B25" s="186">
        <v>143817</v>
      </c>
      <c r="C25" s="183">
        <v>45938</v>
      </c>
      <c r="D25" s="15" t="s">
        <v>369</v>
      </c>
      <c r="E25" s="13">
        <v>1</v>
      </c>
      <c r="F25" s="184">
        <v>143817</v>
      </c>
      <c r="G25" s="184">
        <v>8259</v>
      </c>
      <c r="H25" s="184">
        <v>135558</v>
      </c>
      <c r="I25" s="184">
        <v>21718</v>
      </c>
      <c r="J25" s="184">
        <v>165535</v>
      </c>
      <c r="K25" s="185">
        <v>0.18099999999999999</v>
      </c>
      <c r="L25" s="186">
        <v>222997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spans="1:31" x14ac:dyDescent="0.2">
      <c r="A26" s="15">
        <v>2006</v>
      </c>
      <c r="B26" s="186">
        <v>134053</v>
      </c>
      <c r="C26" s="183">
        <v>45938</v>
      </c>
      <c r="D26" s="15" t="s">
        <v>369</v>
      </c>
      <c r="E26" s="13">
        <v>1</v>
      </c>
      <c r="F26" s="184">
        <v>134053</v>
      </c>
      <c r="G26" s="184">
        <v>11669</v>
      </c>
      <c r="H26" s="184">
        <v>122384</v>
      </c>
      <c r="I26" s="184">
        <v>36170</v>
      </c>
      <c r="J26" s="184">
        <v>170223</v>
      </c>
      <c r="K26" s="185">
        <v>0.28100000000000003</v>
      </c>
      <c r="L26" s="186">
        <v>226694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spans="1:31" x14ac:dyDescent="0.2">
      <c r="A27" s="15">
        <v>2007</v>
      </c>
      <c r="B27" s="186">
        <v>82319</v>
      </c>
      <c r="C27" s="183">
        <v>45938</v>
      </c>
      <c r="D27" s="15" t="s">
        <v>369</v>
      </c>
      <c r="E27" s="13">
        <v>1</v>
      </c>
      <c r="F27" s="184">
        <v>82319</v>
      </c>
      <c r="G27" s="184">
        <v>8073</v>
      </c>
      <c r="H27" s="184">
        <v>74246</v>
      </c>
      <c r="I27" s="184">
        <v>16617</v>
      </c>
      <c r="J27" s="184">
        <v>98936</v>
      </c>
      <c r="K27" s="185">
        <v>0.25</v>
      </c>
      <c r="L27" s="186">
        <v>133301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spans="1:31" x14ac:dyDescent="0.2">
      <c r="A28" s="15">
        <v>2008</v>
      </c>
      <c r="B28" s="186">
        <v>99199</v>
      </c>
      <c r="C28" s="183">
        <v>45938</v>
      </c>
      <c r="D28" s="15" t="s">
        <v>369</v>
      </c>
      <c r="E28" s="13">
        <v>1</v>
      </c>
      <c r="F28" s="184">
        <v>99199</v>
      </c>
      <c r="G28" s="184">
        <v>3973</v>
      </c>
      <c r="H28" s="184">
        <v>95226</v>
      </c>
      <c r="I28" s="184">
        <v>24390</v>
      </c>
      <c r="J28" s="184">
        <v>123589</v>
      </c>
      <c r="K28" s="185">
        <v>0.22900000000000001</v>
      </c>
      <c r="L28" s="186">
        <v>174070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spans="1:31" x14ac:dyDescent="0.2">
      <c r="A29" s="15">
        <v>2009</v>
      </c>
      <c r="B29" s="186">
        <v>113716</v>
      </c>
      <c r="C29" s="183">
        <v>45938</v>
      </c>
      <c r="D29" s="15" t="s">
        <v>369</v>
      </c>
      <c r="E29" s="13">
        <v>1</v>
      </c>
      <c r="F29" s="184">
        <v>113716</v>
      </c>
      <c r="G29" s="184">
        <v>9766</v>
      </c>
      <c r="H29" s="184">
        <v>103950</v>
      </c>
      <c r="I29" s="184">
        <v>42946</v>
      </c>
      <c r="J29" s="184">
        <v>156662</v>
      </c>
      <c r="K29" s="185">
        <v>0.33600000000000002</v>
      </c>
      <c r="L29" s="186">
        <v>224010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spans="1:31" x14ac:dyDescent="0.2">
      <c r="A30" s="15">
        <v>2010</v>
      </c>
      <c r="B30" s="186">
        <v>141238</v>
      </c>
      <c r="C30" s="183">
        <v>45938</v>
      </c>
      <c r="D30" s="15" t="s">
        <v>369</v>
      </c>
      <c r="E30" s="13">
        <v>1</v>
      </c>
      <c r="F30" s="184">
        <v>141238</v>
      </c>
      <c r="G30" s="184">
        <v>14408</v>
      </c>
      <c r="H30" s="184">
        <v>126830</v>
      </c>
      <c r="I30" s="184">
        <v>55254</v>
      </c>
      <c r="J30" s="184">
        <v>196492</v>
      </c>
      <c r="K30" s="185">
        <v>0.35499999999999998</v>
      </c>
      <c r="L30" s="186">
        <v>246822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spans="1:31" x14ac:dyDescent="0.2">
      <c r="A31" s="15">
        <v>2011</v>
      </c>
      <c r="B31" s="186">
        <v>83349</v>
      </c>
      <c r="C31" s="183">
        <v>45939</v>
      </c>
      <c r="D31" s="15" t="s">
        <v>369</v>
      </c>
      <c r="E31" s="13">
        <v>1</v>
      </c>
      <c r="F31" s="184">
        <v>83349</v>
      </c>
      <c r="G31" s="184">
        <v>12478</v>
      </c>
      <c r="H31" s="184">
        <v>70871</v>
      </c>
      <c r="I31" s="184">
        <v>9393</v>
      </c>
      <c r="J31" s="184">
        <v>92742</v>
      </c>
      <c r="K31" s="185">
        <v>0.23599999999999999</v>
      </c>
      <c r="L31" s="186">
        <v>129939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spans="1:31" x14ac:dyDescent="0.2">
      <c r="A32" s="15">
        <v>2012</v>
      </c>
      <c r="B32" s="186">
        <v>61797</v>
      </c>
      <c r="C32" s="183">
        <v>45915</v>
      </c>
      <c r="D32" s="15" t="s">
        <v>370</v>
      </c>
      <c r="E32" s="13">
        <v>1.37</v>
      </c>
      <c r="F32" s="184">
        <v>84847</v>
      </c>
      <c r="G32" s="184">
        <v>14072</v>
      </c>
      <c r="H32" s="184">
        <v>70775</v>
      </c>
      <c r="I32" s="184">
        <v>11554</v>
      </c>
      <c r="J32" s="184">
        <v>96401</v>
      </c>
      <c r="K32" s="185">
        <v>0.26600000000000001</v>
      </c>
      <c r="L32" s="186">
        <v>112947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x14ac:dyDescent="0.2">
      <c r="A33" s="15">
        <v>2013</v>
      </c>
      <c r="B33" s="186">
        <v>55161</v>
      </c>
      <c r="C33" s="183">
        <v>45912</v>
      </c>
      <c r="D33" s="15" t="s">
        <v>370</v>
      </c>
      <c r="E33" s="13">
        <v>1.42</v>
      </c>
      <c r="F33" s="184">
        <v>78492</v>
      </c>
      <c r="G33" s="184">
        <v>10375</v>
      </c>
      <c r="H33" s="184">
        <v>68117</v>
      </c>
      <c r="I33" s="184">
        <v>25300</v>
      </c>
      <c r="J33" s="184">
        <v>103792</v>
      </c>
      <c r="K33" s="185">
        <v>0.34399999999999997</v>
      </c>
      <c r="L33" s="186">
        <v>142984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spans="1:31" x14ac:dyDescent="0.2">
      <c r="A34" s="15">
        <v>2014</v>
      </c>
      <c r="B34" s="186">
        <v>140739</v>
      </c>
      <c r="C34" s="183">
        <v>45939</v>
      </c>
      <c r="D34" s="15" t="s">
        <v>369</v>
      </c>
      <c r="E34" s="13">
        <v>1</v>
      </c>
      <c r="F34" s="184">
        <v>140739</v>
      </c>
      <c r="G34" s="184">
        <v>16568</v>
      </c>
      <c r="H34" s="184">
        <v>124171</v>
      </c>
      <c r="I34" s="184">
        <v>31149</v>
      </c>
      <c r="J34" s="184">
        <v>171888</v>
      </c>
      <c r="K34" s="185">
        <v>0.27800000000000002</v>
      </c>
      <c r="L34" s="186">
        <v>189655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spans="1:31" x14ac:dyDescent="0.2">
      <c r="A35" s="15">
        <v>2015</v>
      </c>
      <c r="B35" s="186">
        <v>70361</v>
      </c>
      <c r="C35" s="183">
        <v>45939</v>
      </c>
      <c r="D35" s="15" t="s">
        <v>369</v>
      </c>
      <c r="E35" s="13">
        <v>1</v>
      </c>
      <c r="F35" s="184">
        <v>70361</v>
      </c>
      <c r="G35" s="184">
        <v>10183</v>
      </c>
      <c r="H35" s="184">
        <v>60178</v>
      </c>
      <c r="I35" s="184">
        <v>9558</v>
      </c>
      <c r="J35" s="184">
        <v>79919</v>
      </c>
      <c r="K35" s="185">
        <v>0.247</v>
      </c>
      <c r="L35" s="186">
        <v>105882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spans="1:31" x14ac:dyDescent="0.2">
      <c r="A36" s="15">
        <v>2016</v>
      </c>
      <c r="B36" s="186">
        <v>99224</v>
      </c>
      <c r="C36" s="183">
        <v>45939</v>
      </c>
      <c r="D36" s="15" t="s">
        <v>369</v>
      </c>
      <c r="E36" s="13">
        <v>1</v>
      </c>
      <c r="F36" s="184">
        <v>99224</v>
      </c>
      <c r="G36" s="184">
        <v>11520</v>
      </c>
      <c r="H36" s="184">
        <v>87704</v>
      </c>
      <c r="I36" s="184">
        <v>11993</v>
      </c>
      <c r="J36" s="184">
        <v>111217</v>
      </c>
      <c r="K36" s="185">
        <v>0.21099999999999999</v>
      </c>
      <c r="L36" s="186">
        <v>124272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spans="1:31" x14ac:dyDescent="0.2">
      <c r="A37" s="15">
        <v>2017</v>
      </c>
      <c r="B37" s="186">
        <v>65670</v>
      </c>
      <c r="C37" s="183">
        <v>45934</v>
      </c>
      <c r="D37" s="15" t="s">
        <v>369</v>
      </c>
      <c r="E37" s="13">
        <v>1</v>
      </c>
      <c r="F37" s="184">
        <v>65670</v>
      </c>
      <c r="G37" s="184">
        <v>7802</v>
      </c>
      <c r="H37" s="184">
        <v>57868</v>
      </c>
      <c r="I37" s="184">
        <v>12386</v>
      </c>
      <c r="J37" s="184">
        <v>78056</v>
      </c>
      <c r="K37" s="185">
        <v>0.25900000000000001</v>
      </c>
      <c r="L37" s="186">
        <v>108262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spans="1:31" x14ac:dyDescent="0.2">
      <c r="A38" s="15">
        <v>2018</v>
      </c>
      <c r="B38" s="186">
        <v>60678</v>
      </c>
      <c r="C38" s="183">
        <v>45933</v>
      </c>
      <c r="D38" s="15" t="s">
        <v>369</v>
      </c>
      <c r="E38" s="13">
        <v>1</v>
      </c>
      <c r="F38" s="184">
        <v>60678</v>
      </c>
      <c r="G38" s="184">
        <v>9505</v>
      </c>
      <c r="H38" s="184">
        <v>51173</v>
      </c>
      <c r="I38" s="184">
        <v>24807</v>
      </c>
      <c r="J38" s="184">
        <v>85485</v>
      </c>
      <c r="K38" s="185">
        <v>0.40100000000000002</v>
      </c>
      <c r="L38" s="186">
        <v>83601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spans="1:31" x14ac:dyDescent="0.2">
      <c r="A39" s="15">
        <v>2019</v>
      </c>
      <c r="B39" s="186">
        <v>95011</v>
      </c>
      <c r="C39" s="183">
        <v>45938</v>
      </c>
      <c r="D39" s="15" t="s">
        <v>369</v>
      </c>
      <c r="E39" s="13">
        <v>1</v>
      </c>
      <c r="F39" s="184">
        <v>95011</v>
      </c>
      <c r="G39" s="184">
        <v>12252</v>
      </c>
      <c r="H39" s="184">
        <v>82759</v>
      </c>
      <c r="I39" s="184">
        <v>10099</v>
      </c>
      <c r="J39" s="184">
        <v>105110</v>
      </c>
      <c r="K39" s="185">
        <v>0.21299999999999999</v>
      </c>
      <c r="L39" s="186">
        <v>117087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spans="1:31" x14ac:dyDescent="0.2">
      <c r="A40" s="15">
        <v>2020</v>
      </c>
      <c r="B40" s="186">
        <v>53707</v>
      </c>
      <c r="C40" s="183">
        <v>45922</v>
      </c>
      <c r="D40" s="15" t="s">
        <v>370</v>
      </c>
      <c r="E40" s="13">
        <v>1.1000000000000001</v>
      </c>
      <c r="F40" s="184">
        <v>59099</v>
      </c>
      <c r="G40" s="184">
        <v>7036</v>
      </c>
      <c r="H40" s="184">
        <v>52063</v>
      </c>
      <c r="I40" s="184">
        <v>2836</v>
      </c>
      <c r="J40" s="184">
        <v>61935</v>
      </c>
      <c r="K40" s="185">
        <v>0.159</v>
      </c>
      <c r="L40" s="186">
        <v>73863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1:31" x14ac:dyDescent="0.2">
      <c r="A41" s="15">
        <v>2021</v>
      </c>
      <c r="B41" s="186">
        <v>85800</v>
      </c>
      <c r="C41" s="183">
        <v>45929</v>
      </c>
      <c r="D41" s="15" t="s">
        <v>370</v>
      </c>
      <c r="E41" s="13">
        <v>1.01</v>
      </c>
      <c r="F41" s="184">
        <v>86406</v>
      </c>
      <c r="G41" s="184">
        <v>10880</v>
      </c>
      <c r="H41" s="184">
        <v>75526</v>
      </c>
      <c r="I41" s="184">
        <v>12027</v>
      </c>
      <c r="J41" s="184">
        <v>98433</v>
      </c>
      <c r="K41" s="185">
        <v>0.23300000000000001</v>
      </c>
      <c r="L41" s="186">
        <v>113264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x14ac:dyDescent="0.2">
      <c r="A42" s="15">
        <v>2022</v>
      </c>
      <c r="B42" s="186">
        <v>54446</v>
      </c>
      <c r="C42" s="183">
        <v>45913</v>
      </c>
      <c r="D42" s="15" t="s">
        <v>370</v>
      </c>
      <c r="E42" s="13">
        <v>1.36</v>
      </c>
      <c r="F42" s="184">
        <v>73830</v>
      </c>
      <c r="G42" s="184">
        <v>7796</v>
      </c>
      <c r="H42" s="184">
        <v>66034</v>
      </c>
      <c r="I42" s="184">
        <v>13411</v>
      </c>
      <c r="J42" s="184">
        <v>87241</v>
      </c>
      <c r="K42" s="185">
        <v>0.24299999999999999</v>
      </c>
      <c r="L42" s="186">
        <v>93222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1:31" x14ac:dyDescent="0.2">
      <c r="A43" s="15">
        <v>2023</v>
      </c>
      <c r="B43" s="186">
        <v>100409</v>
      </c>
      <c r="C43" s="183">
        <v>45930</v>
      </c>
      <c r="D43" s="15" t="s">
        <v>369</v>
      </c>
      <c r="E43" s="13">
        <v>1</v>
      </c>
      <c r="F43" s="184">
        <v>100409</v>
      </c>
      <c r="G43" s="184">
        <v>11387</v>
      </c>
      <c r="H43" s="184">
        <v>89022</v>
      </c>
      <c r="I43" s="184">
        <v>14645</v>
      </c>
      <c r="J43" s="184">
        <v>115054</v>
      </c>
      <c r="K43" s="185">
        <v>0.22600000000000001</v>
      </c>
      <c r="L43" s="186">
        <v>133661</v>
      </c>
      <c r="M43" s="186">
        <f>SUM(I43,H43,G43)</f>
        <v>115054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1:31" x14ac:dyDescent="0.2">
      <c r="A44" s="16">
        <v>2024</v>
      </c>
      <c r="B44" s="191">
        <v>77570</v>
      </c>
      <c r="C44" s="192">
        <v>45930</v>
      </c>
      <c r="D44" s="16" t="s">
        <v>369</v>
      </c>
      <c r="E44" s="14">
        <v>1</v>
      </c>
      <c r="F44" s="187">
        <v>77570</v>
      </c>
      <c r="G44" s="187">
        <v>12574</v>
      </c>
      <c r="H44" s="187">
        <v>64996</v>
      </c>
      <c r="I44" s="187">
        <v>12983</v>
      </c>
      <c r="J44" s="187">
        <v>90553</v>
      </c>
      <c r="K44" s="188">
        <v>0.28199999999999997</v>
      </c>
      <c r="L44" s="1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1:31" x14ac:dyDescent="0.2">
      <c r="A45" s="219" t="s">
        <v>24</v>
      </c>
      <c r="B45" s="219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1:31" x14ac:dyDescent="0.2">
      <c r="A46" s="15" t="s">
        <v>371</v>
      </c>
      <c r="B46" s="184">
        <v>88595</v>
      </c>
      <c r="C46" s="189">
        <v>45929</v>
      </c>
      <c r="D46" s="185"/>
      <c r="E46" s="185"/>
      <c r="F46" s="184">
        <v>95270</v>
      </c>
      <c r="G46" s="184">
        <v>8216</v>
      </c>
      <c r="H46" s="184">
        <v>87054</v>
      </c>
      <c r="I46" s="184">
        <v>25447</v>
      </c>
      <c r="J46" s="184">
        <v>123894</v>
      </c>
      <c r="K46" s="185">
        <v>0.27</v>
      </c>
      <c r="L46" s="184">
        <v>162925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1:31" x14ac:dyDescent="0.2">
      <c r="A47" s="16" t="s">
        <v>302</v>
      </c>
      <c r="B47" s="187">
        <v>82605</v>
      </c>
      <c r="C47" s="190">
        <v>45929</v>
      </c>
      <c r="D47" s="188"/>
      <c r="E47" s="188"/>
      <c r="F47" s="187">
        <v>85143</v>
      </c>
      <c r="G47" s="187">
        <v>10493</v>
      </c>
      <c r="H47" s="187">
        <v>74650</v>
      </c>
      <c r="I47" s="187">
        <v>14291</v>
      </c>
      <c r="J47" s="187">
        <v>99434</v>
      </c>
      <c r="K47" s="188">
        <v>0.247</v>
      </c>
      <c r="L47" s="187">
        <v>114277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</sheetData>
  <mergeCells count="4">
    <mergeCell ref="A45:B45"/>
    <mergeCell ref="B4:C4"/>
    <mergeCell ref="I4:K4"/>
    <mergeCell ref="D5: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50"/>
  <sheetViews>
    <sheetView topLeftCell="A21" workbookViewId="0">
      <selection activeCell="D53" sqref="D53"/>
    </sheetView>
  </sheetViews>
  <sheetFormatPr baseColWidth="10" defaultColWidth="8.83203125" defaultRowHeight="15" x14ac:dyDescent="0.2"/>
  <sheetData>
    <row r="1" spans="1:31" x14ac:dyDescent="0.2">
      <c r="A1" s="15" t="s">
        <v>260</v>
      </c>
      <c r="B1" s="13"/>
      <c r="C1" s="31"/>
      <c r="D1" s="32"/>
      <c r="E1" s="32"/>
      <c r="F1" s="32"/>
      <c r="G1" s="32"/>
      <c r="H1" s="32"/>
      <c r="I1" s="32"/>
      <c r="J1" s="32"/>
      <c r="K1" s="31"/>
      <c r="L1" s="31"/>
      <c r="M1" s="32"/>
      <c r="N1" s="32"/>
      <c r="O1" s="222"/>
      <c r="P1" s="222"/>
      <c r="Q1" s="224"/>
      <c r="R1" s="224"/>
      <c r="S1" s="224"/>
      <c r="T1" s="224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 spans="1:31" x14ac:dyDescent="0.2">
      <c r="A2" s="83" t="s">
        <v>161</v>
      </c>
      <c r="B2" s="33"/>
      <c r="C2" s="34"/>
      <c r="D2" s="35"/>
      <c r="E2" s="35"/>
      <c r="F2" s="35"/>
      <c r="G2" s="35"/>
      <c r="H2" s="35"/>
      <c r="I2" s="35"/>
      <c r="J2" s="35"/>
      <c r="K2" s="34"/>
      <c r="L2" s="34"/>
      <c r="M2" s="35"/>
      <c r="N2" s="35"/>
      <c r="O2" s="223"/>
      <c r="P2" s="223"/>
      <c r="Q2" s="224"/>
      <c r="R2" s="224"/>
      <c r="S2" s="224"/>
      <c r="T2" s="224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</row>
    <row r="3" spans="1:31" x14ac:dyDescent="0.2">
      <c r="A3" s="15" t="s">
        <v>304</v>
      </c>
      <c r="B3" s="13"/>
      <c r="C3" s="31"/>
      <c r="D3" s="32"/>
      <c r="E3" s="32"/>
      <c r="F3" s="32"/>
      <c r="G3" s="32"/>
      <c r="H3" s="32"/>
      <c r="I3" s="32"/>
      <c r="J3" s="32"/>
      <c r="K3" s="31"/>
      <c r="L3" s="31"/>
      <c r="M3" s="32"/>
      <c r="N3" s="32"/>
      <c r="O3" s="224"/>
      <c r="P3" s="224"/>
      <c r="Q3" s="224"/>
      <c r="R3" s="224"/>
      <c r="S3" s="224"/>
      <c r="T3" s="224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</row>
    <row r="4" spans="1:31" x14ac:dyDescent="0.2">
      <c r="A4" s="16" t="s">
        <v>305</v>
      </c>
      <c r="B4" s="14"/>
      <c r="C4" s="36"/>
      <c r="D4" s="36"/>
      <c r="E4" s="36"/>
      <c r="F4" s="36"/>
      <c r="G4" s="36"/>
      <c r="H4" s="36"/>
      <c r="I4" s="36"/>
      <c r="J4" s="36"/>
      <c r="K4" s="36"/>
      <c r="L4" s="37"/>
      <c r="M4" s="36"/>
      <c r="N4" s="36"/>
      <c r="O4" s="222"/>
      <c r="P4" s="222"/>
      <c r="Q4" s="224"/>
      <c r="R4" s="224"/>
      <c r="S4" s="224"/>
      <c r="T4" s="224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spans="1:31" x14ac:dyDescent="0.2">
      <c r="A5" s="15"/>
      <c r="B5" s="15"/>
      <c r="C5" s="13"/>
      <c r="D5" s="36"/>
      <c r="E5" s="36"/>
      <c r="F5" s="36"/>
      <c r="G5" s="36" t="s">
        <v>162</v>
      </c>
      <c r="H5" s="36"/>
      <c r="I5" s="36"/>
      <c r="J5" s="36"/>
      <c r="K5" s="36"/>
      <c r="L5" s="36"/>
      <c r="M5" s="226"/>
      <c r="N5" s="226"/>
      <c r="O5" s="36"/>
      <c r="P5" s="222"/>
      <c r="Q5" s="222"/>
      <c r="R5" s="224"/>
      <c r="S5" s="224"/>
      <c r="T5" s="224"/>
      <c r="U5" s="224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 spans="1:31" ht="17" x14ac:dyDescent="0.3">
      <c r="A6" s="15"/>
      <c r="B6" s="84" t="s">
        <v>306</v>
      </c>
      <c r="C6" s="15" t="s">
        <v>163</v>
      </c>
      <c r="D6" s="220" t="s">
        <v>164</v>
      </c>
      <c r="E6" s="220"/>
      <c r="F6" s="220"/>
      <c r="G6" s="220"/>
      <c r="H6" s="220"/>
      <c r="I6" s="36" t="s">
        <v>165</v>
      </c>
      <c r="J6" s="36"/>
      <c r="K6" s="220" t="s">
        <v>166</v>
      </c>
      <c r="L6" s="220"/>
      <c r="M6" s="220"/>
      <c r="N6" s="220"/>
      <c r="O6" s="220"/>
      <c r="P6" s="223"/>
      <c r="Q6" s="223"/>
      <c r="R6" s="224"/>
      <c r="S6" s="224"/>
      <c r="T6" s="224"/>
      <c r="U6" s="224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pans="1:31" x14ac:dyDescent="0.2">
      <c r="A7" s="16" t="s">
        <v>10</v>
      </c>
      <c r="B7" s="16" t="s">
        <v>261</v>
      </c>
      <c r="C7" s="16" t="s">
        <v>167</v>
      </c>
      <c r="D7" s="36" t="s">
        <v>168</v>
      </c>
      <c r="E7" s="36" t="s">
        <v>307</v>
      </c>
      <c r="F7" s="36" t="s">
        <v>169</v>
      </c>
      <c r="G7" s="36" t="s">
        <v>170</v>
      </c>
      <c r="H7" s="36" t="s">
        <v>171</v>
      </c>
      <c r="I7" s="36" t="s">
        <v>172</v>
      </c>
      <c r="J7" s="36" t="s">
        <v>173</v>
      </c>
      <c r="K7" s="36" t="s">
        <v>168</v>
      </c>
      <c r="L7" s="36" t="s">
        <v>307</v>
      </c>
      <c r="M7" s="36" t="s">
        <v>169</v>
      </c>
      <c r="N7" s="36" t="s">
        <v>170</v>
      </c>
      <c r="O7" s="36" t="s">
        <v>171</v>
      </c>
      <c r="P7" s="36" t="s">
        <v>174</v>
      </c>
      <c r="Q7" s="32"/>
      <c r="R7" s="32"/>
      <c r="S7" s="32"/>
      <c r="T7" s="32"/>
      <c r="U7" s="32"/>
      <c r="V7" s="32"/>
      <c r="W7" s="32"/>
      <c r="X7" s="32"/>
      <c r="Y7" s="31"/>
      <c r="Z7" s="31"/>
      <c r="AA7" s="31"/>
      <c r="AB7" s="31"/>
      <c r="AC7" s="31"/>
      <c r="AD7" s="31"/>
      <c r="AE7" s="31"/>
    </row>
    <row r="8" spans="1:31" x14ac:dyDescent="0.2">
      <c r="A8" s="15">
        <v>1984</v>
      </c>
      <c r="B8" s="15">
        <v>24</v>
      </c>
      <c r="C8" s="15" t="s">
        <v>175</v>
      </c>
      <c r="D8" s="31">
        <v>138</v>
      </c>
      <c r="E8" s="85">
        <v>2334</v>
      </c>
      <c r="F8" s="32">
        <v>889</v>
      </c>
      <c r="G8" s="86">
        <v>20751</v>
      </c>
      <c r="H8" s="32">
        <v>316</v>
      </c>
      <c r="I8" s="86">
        <v>20751</v>
      </c>
      <c r="J8" s="32"/>
      <c r="K8" s="31"/>
      <c r="L8" s="31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1"/>
      <c r="Z8" s="31"/>
      <c r="AA8" s="31"/>
      <c r="AB8" s="31"/>
      <c r="AC8" s="31"/>
      <c r="AD8" s="31"/>
      <c r="AE8" s="31"/>
    </row>
    <row r="9" spans="1:31" x14ac:dyDescent="0.2">
      <c r="A9" s="15">
        <v>1985</v>
      </c>
      <c r="B9" s="15">
        <v>24</v>
      </c>
      <c r="C9" s="15" t="s">
        <v>176</v>
      </c>
      <c r="D9" s="31">
        <v>184</v>
      </c>
      <c r="E9" s="85">
        <v>3601</v>
      </c>
      <c r="F9" s="86">
        <v>1207</v>
      </c>
      <c r="G9" s="86">
        <v>27670</v>
      </c>
      <c r="H9" s="86">
        <v>1376</v>
      </c>
      <c r="I9" s="32"/>
      <c r="J9" s="86">
        <v>27670</v>
      </c>
      <c r="K9" s="31"/>
      <c r="L9" s="31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1"/>
      <c r="Z9" s="31"/>
      <c r="AA9" s="31"/>
      <c r="AB9" s="31"/>
      <c r="AC9" s="31"/>
      <c r="AD9" s="31"/>
      <c r="AE9" s="31"/>
    </row>
    <row r="10" spans="1:31" x14ac:dyDescent="0.2">
      <c r="A10" s="15">
        <v>1986</v>
      </c>
      <c r="B10" s="15">
        <v>24</v>
      </c>
      <c r="C10" s="15" t="s">
        <v>177</v>
      </c>
      <c r="D10" s="31">
        <v>571</v>
      </c>
      <c r="E10" s="85">
        <v>5808</v>
      </c>
      <c r="F10" s="32">
        <v>758</v>
      </c>
      <c r="G10" s="86">
        <v>7256</v>
      </c>
      <c r="H10" s="32">
        <v>80</v>
      </c>
      <c r="I10" s="86">
        <v>7256</v>
      </c>
      <c r="J10" s="32"/>
      <c r="K10" s="31"/>
      <c r="L10" s="3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1"/>
      <c r="Z10" s="31"/>
      <c r="AA10" s="31"/>
      <c r="AB10" s="31"/>
      <c r="AC10" s="31"/>
      <c r="AD10" s="31"/>
      <c r="AE10" s="31"/>
    </row>
    <row r="11" spans="1:31" x14ac:dyDescent="0.2">
      <c r="A11" s="15">
        <v>1987</v>
      </c>
      <c r="B11" s="15">
        <v>24</v>
      </c>
      <c r="C11" s="15" t="s">
        <v>178</v>
      </c>
      <c r="D11" s="31">
        <v>285</v>
      </c>
      <c r="E11" s="85">
        <v>4307</v>
      </c>
      <c r="F11" s="85">
        <v>2240</v>
      </c>
      <c r="G11" s="85">
        <v>42786</v>
      </c>
      <c r="H11" s="85">
        <v>1533</v>
      </c>
      <c r="I11" s="32"/>
      <c r="J11" s="86">
        <v>42786</v>
      </c>
      <c r="K11" s="31"/>
      <c r="L11" s="31"/>
      <c r="M11" s="224"/>
      <c r="N11" s="224"/>
      <c r="O11" s="32"/>
      <c r="P11" s="224">
        <v>34</v>
      </c>
      <c r="Q11" s="224"/>
      <c r="R11" s="32"/>
      <c r="S11" s="32"/>
      <c r="T11" s="32"/>
      <c r="U11" s="32"/>
      <c r="V11" s="32"/>
      <c r="W11" s="32"/>
      <c r="X11" s="32"/>
      <c r="Y11" s="31"/>
      <c r="Z11" s="31"/>
      <c r="AA11" s="31"/>
      <c r="AB11" s="31"/>
      <c r="AC11" s="31"/>
      <c r="AD11" s="31"/>
      <c r="AE11" s="31"/>
    </row>
    <row r="12" spans="1:31" x14ac:dyDescent="0.2">
      <c r="A12" s="15">
        <v>1988</v>
      </c>
      <c r="B12" s="15">
        <v>24</v>
      </c>
      <c r="C12" s="15" t="s">
        <v>179</v>
      </c>
      <c r="D12" s="85">
        <v>1436</v>
      </c>
      <c r="E12" s="85">
        <v>3292</v>
      </c>
      <c r="F12" s="85">
        <v>2168</v>
      </c>
      <c r="G12" s="85">
        <v>3982</v>
      </c>
      <c r="H12" s="85">
        <v>1089</v>
      </c>
      <c r="I12" s="86">
        <v>3982</v>
      </c>
      <c r="J12" s="32"/>
      <c r="K12" s="31"/>
      <c r="L12" s="31"/>
      <c r="M12" s="224"/>
      <c r="N12" s="224"/>
      <c r="O12" s="32"/>
      <c r="P12" s="224">
        <v>34</v>
      </c>
      <c r="Q12" s="224"/>
      <c r="R12" s="32"/>
      <c r="S12" s="32"/>
      <c r="T12" s="32"/>
      <c r="U12" s="32"/>
      <c r="V12" s="32"/>
      <c r="W12" s="32"/>
      <c r="X12" s="32"/>
      <c r="Y12" s="31"/>
      <c r="Z12" s="31"/>
      <c r="AA12" s="31"/>
      <c r="AB12" s="31"/>
      <c r="AC12" s="31"/>
      <c r="AD12" s="31"/>
      <c r="AE12" s="31"/>
    </row>
    <row r="13" spans="1:31" x14ac:dyDescent="0.2">
      <c r="A13" s="15">
        <v>1989</v>
      </c>
      <c r="B13" s="15">
        <v>24</v>
      </c>
      <c r="C13" s="15" t="s">
        <v>180</v>
      </c>
      <c r="D13" s="85">
        <v>1811</v>
      </c>
      <c r="E13" s="85">
        <v>5650</v>
      </c>
      <c r="F13" s="85">
        <v>2243</v>
      </c>
      <c r="G13" s="85">
        <v>31189</v>
      </c>
      <c r="H13" s="31">
        <v>645</v>
      </c>
      <c r="I13" s="32"/>
      <c r="J13" s="86">
        <v>31189</v>
      </c>
      <c r="K13" s="31"/>
      <c r="L13" s="31"/>
      <c r="M13" s="224"/>
      <c r="N13" s="224"/>
      <c r="O13" s="32"/>
      <c r="P13" s="224">
        <v>38</v>
      </c>
      <c r="Q13" s="224"/>
      <c r="R13" s="32"/>
      <c r="S13" s="32"/>
      <c r="T13" s="32"/>
      <c r="U13" s="32"/>
      <c r="V13" s="32"/>
      <c r="W13" s="32"/>
      <c r="X13" s="32"/>
      <c r="Y13" s="31"/>
      <c r="Z13" s="31"/>
      <c r="AA13" s="31"/>
      <c r="AB13" s="31"/>
      <c r="AC13" s="31"/>
      <c r="AD13" s="31"/>
      <c r="AE13" s="31"/>
    </row>
    <row r="14" spans="1:31" x14ac:dyDescent="0.2">
      <c r="A14" s="15">
        <v>1990</v>
      </c>
      <c r="B14" s="15">
        <v>24</v>
      </c>
      <c r="C14" s="15" t="s">
        <v>181</v>
      </c>
      <c r="D14" s="85">
        <v>1972</v>
      </c>
      <c r="E14" s="85">
        <v>6091</v>
      </c>
      <c r="F14" s="85">
        <v>1860</v>
      </c>
      <c r="G14" s="85">
        <v>13358</v>
      </c>
      <c r="H14" s="31">
        <v>748</v>
      </c>
      <c r="I14" s="86">
        <v>13358</v>
      </c>
      <c r="J14" s="32"/>
      <c r="K14" s="31"/>
      <c r="L14" s="31"/>
      <c r="M14" s="224"/>
      <c r="N14" s="224"/>
      <c r="O14" s="32"/>
      <c r="P14" s="224">
        <v>43</v>
      </c>
      <c r="Q14" s="224"/>
      <c r="R14" s="32"/>
      <c r="S14" s="32"/>
      <c r="T14" s="32"/>
      <c r="U14" s="32"/>
      <c r="V14" s="32"/>
      <c r="W14" s="32"/>
      <c r="X14" s="32"/>
      <c r="Y14" s="31"/>
      <c r="Z14" s="31"/>
      <c r="AA14" s="31"/>
      <c r="AB14" s="31"/>
      <c r="AC14" s="31"/>
      <c r="AD14" s="31"/>
      <c r="AE14" s="31"/>
    </row>
    <row r="15" spans="1:31" x14ac:dyDescent="0.2">
      <c r="A15" s="15">
        <v>1991</v>
      </c>
      <c r="B15" s="15">
        <v>24</v>
      </c>
      <c r="C15" s="15" t="s">
        <v>182</v>
      </c>
      <c r="D15" s="31">
        <v>680</v>
      </c>
      <c r="E15" s="85">
        <v>5102</v>
      </c>
      <c r="F15" s="85">
        <v>4922</v>
      </c>
      <c r="G15" s="85">
        <v>23553</v>
      </c>
      <c r="H15" s="85">
        <v>1063</v>
      </c>
      <c r="I15" s="32"/>
      <c r="J15" s="86">
        <v>23553</v>
      </c>
      <c r="K15" s="31"/>
      <c r="L15" s="31"/>
      <c r="M15" s="224"/>
      <c r="N15" s="224"/>
      <c r="O15" s="32"/>
      <c r="P15" s="224">
        <v>138</v>
      </c>
      <c r="Q15" s="224"/>
      <c r="R15" s="32"/>
      <c r="S15" s="32"/>
      <c r="T15" s="32"/>
      <c r="U15" s="32"/>
      <c r="V15" s="32"/>
      <c r="W15" s="32"/>
      <c r="X15" s="32"/>
      <c r="Y15" s="31"/>
      <c r="Z15" s="31"/>
      <c r="AA15" s="31"/>
      <c r="AB15" s="31"/>
      <c r="AC15" s="31"/>
      <c r="AD15" s="31"/>
      <c r="AE15" s="31"/>
    </row>
    <row r="16" spans="1:31" x14ac:dyDescent="0.2">
      <c r="A16" s="15">
        <v>1992</v>
      </c>
      <c r="B16" s="15">
        <v>24</v>
      </c>
      <c r="C16" s="15" t="s">
        <v>183</v>
      </c>
      <c r="D16" s="31">
        <v>212</v>
      </c>
      <c r="E16" s="85">
        <v>6279</v>
      </c>
      <c r="F16" s="85">
        <v>2103</v>
      </c>
      <c r="G16" s="85">
        <v>9252</v>
      </c>
      <c r="H16" s="31">
        <v>189</v>
      </c>
      <c r="I16" s="86">
        <v>9252</v>
      </c>
      <c r="J16" s="32"/>
      <c r="K16" s="31"/>
      <c r="L16" s="31"/>
      <c r="M16" s="224"/>
      <c r="N16" s="224"/>
      <c r="O16" s="32"/>
      <c r="P16" s="224">
        <v>22</v>
      </c>
      <c r="Q16" s="224"/>
      <c r="R16" s="32"/>
      <c r="S16" s="32"/>
      <c r="T16" s="32"/>
      <c r="U16" s="32"/>
      <c r="V16" s="32"/>
      <c r="W16" s="32"/>
      <c r="X16" s="32"/>
      <c r="Y16" s="31"/>
      <c r="Z16" s="31"/>
      <c r="AA16" s="31"/>
      <c r="AB16" s="31"/>
      <c r="AC16" s="31"/>
      <c r="AD16" s="31"/>
      <c r="AE16" s="31"/>
    </row>
    <row r="17" spans="1:31" x14ac:dyDescent="0.2">
      <c r="A17" s="15">
        <v>1993</v>
      </c>
      <c r="B17" s="15">
        <v>24</v>
      </c>
      <c r="C17" s="15" t="s">
        <v>184</v>
      </c>
      <c r="D17" s="31">
        <v>562</v>
      </c>
      <c r="E17" s="85">
        <v>8975</v>
      </c>
      <c r="F17" s="85">
        <v>2552</v>
      </c>
      <c r="G17" s="85">
        <v>1625</v>
      </c>
      <c r="H17" s="31">
        <v>345</v>
      </c>
      <c r="I17" s="32"/>
      <c r="J17" s="86">
        <v>1625</v>
      </c>
      <c r="K17" s="31"/>
      <c r="L17" s="31"/>
      <c r="M17" s="224"/>
      <c r="N17" s="224"/>
      <c r="O17" s="32"/>
      <c r="P17" s="224">
        <v>16</v>
      </c>
      <c r="Q17" s="224"/>
      <c r="R17" s="32"/>
      <c r="S17" s="32"/>
      <c r="T17" s="32"/>
      <c r="U17" s="32"/>
      <c r="V17" s="32"/>
      <c r="W17" s="32"/>
      <c r="X17" s="32"/>
      <c r="Y17" s="31"/>
      <c r="Z17" s="31"/>
      <c r="AA17" s="31"/>
      <c r="AB17" s="31"/>
      <c r="AC17" s="31"/>
      <c r="AD17" s="31"/>
      <c r="AE17" s="31"/>
    </row>
    <row r="18" spans="1:31" x14ac:dyDescent="0.2">
      <c r="A18" s="15">
        <v>1994</v>
      </c>
      <c r="B18" s="15">
        <v>24</v>
      </c>
      <c r="C18" s="15" t="s">
        <v>185</v>
      </c>
      <c r="D18" s="31">
        <v>906</v>
      </c>
      <c r="E18" s="85">
        <v>6485</v>
      </c>
      <c r="F18" s="85">
        <v>4792</v>
      </c>
      <c r="G18" s="85">
        <v>27100</v>
      </c>
      <c r="H18" s="31">
        <v>367</v>
      </c>
      <c r="I18" s="86">
        <v>27100</v>
      </c>
      <c r="J18" s="32"/>
      <c r="K18" s="31"/>
      <c r="L18" s="31"/>
      <c r="M18" s="224"/>
      <c r="N18" s="224"/>
      <c r="O18" s="32"/>
      <c r="P18" s="224">
        <v>107</v>
      </c>
      <c r="Q18" s="224"/>
      <c r="R18" s="32"/>
      <c r="S18" s="32"/>
      <c r="T18" s="32"/>
      <c r="U18" s="32"/>
      <c r="V18" s="32"/>
      <c r="W18" s="32"/>
      <c r="X18" s="32"/>
      <c r="Y18" s="31"/>
      <c r="Z18" s="31"/>
      <c r="AA18" s="31"/>
      <c r="AB18" s="31"/>
      <c r="AC18" s="31"/>
      <c r="AD18" s="31"/>
      <c r="AE18" s="31"/>
    </row>
    <row r="19" spans="1:31" x14ac:dyDescent="0.2">
      <c r="A19" s="15">
        <v>1995</v>
      </c>
      <c r="B19" s="15">
        <v>24</v>
      </c>
      <c r="C19" s="15" t="s">
        <v>186</v>
      </c>
      <c r="D19" s="85">
        <v>1535</v>
      </c>
      <c r="E19" s="86">
        <v>6228</v>
      </c>
      <c r="F19" s="85">
        <v>2535</v>
      </c>
      <c r="G19" s="86">
        <v>1712</v>
      </c>
      <c r="H19" s="31">
        <v>218</v>
      </c>
      <c r="I19" s="32"/>
      <c r="J19" s="86">
        <v>1712</v>
      </c>
      <c r="K19" s="31"/>
      <c r="L19" s="32"/>
      <c r="M19" s="224"/>
      <c r="N19" s="224"/>
      <c r="O19" s="32"/>
      <c r="P19" s="224">
        <v>61</v>
      </c>
      <c r="Q19" s="224"/>
      <c r="R19" s="32"/>
      <c r="S19" s="32"/>
      <c r="T19" s="32"/>
      <c r="U19" s="32"/>
      <c r="V19" s="32"/>
      <c r="W19" s="32"/>
      <c r="X19" s="32"/>
      <c r="Y19" s="31"/>
      <c r="Z19" s="31"/>
      <c r="AA19" s="31"/>
      <c r="AB19" s="31"/>
      <c r="AC19" s="31"/>
      <c r="AD19" s="31"/>
      <c r="AE19" s="31"/>
    </row>
    <row r="20" spans="1:31" x14ac:dyDescent="0.2">
      <c r="A20" s="15">
        <v>1996</v>
      </c>
      <c r="B20" s="15">
        <v>24</v>
      </c>
      <c r="C20" s="15" t="s">
        <v>187</v>
      </c>
      <c r="D20" s="85">
        <v>1904</v>
      </c>
      <c r="E20" s="86">
        <v>5919</v>
      </c>
      <c r="F20" s="85">
        <v>1895</v>
      </c>
      <c r="G20" s="86">
        <v>21583</v>
      </c>
      <c r="H20" s="31">
        <v>388</v>
      </c>
      <c r="I20" s="86">
        <v>21583</v>
      </c>
      <c r="J20" s="32"/>
      <c r="K20" s="31"/>
      <c r="L20" s="32"/>
      <c r="M20" s="224"/>
      <c r="N20" s="224"/>
      <c r="O20" s="32"/>
      <c r="P20" s="224">
        <v>68</v>
      </c>
      <c r="Q20" s="224"/>
      <c r="R20" s="32"/>
      <c r="S20" s="32"/>
      <c r="T20" s="32"/>
      <c r="U20" s="32"/>
      <c r="V20" s="32"/>
      <c r="W20" s="32"/>
      <c r="X20" s="32"/>
      <c r="Y20" s="31"/>
      <c r="Z20" s="31"/>
      <c r="AA20" s="31"/>
      <c r="AB20" s="31"/>
      <c r="AC20" s="31"/>
      <c r="AD20" s="31"/>
      <c r="AE20" s="31"/>
    </row>
    <row r="21" spans="1:31" x14ac:dyDescent="0.2">
      <c r="A21" s="15">
        <v>1997</v>
      </c>
      <c r="B21" s="15">
        <v>24</v>
      </c>
      <c r="C21" s="15" t="s">
        <v>188</v>
      </c>
      <c r="D21" s="85">
        <v>1321</v>
      </c>
      <c r="E21" s="86">
        <v>5708</v>
      </c>
      <c r="F21" s="85">
        <v>1665</v>
      </c>
      <c r="G21" s="86">
        <v>4962</v>
      </c>
      <c r="H21" s="31">
        <v>485</v>
      </c>
      <c r="I21" s="32"/>
      <c r="J21" s="225">
        <v>4962</v>
      </c>
      <c r="K21" s="225"/>
      <c r="L21" s="32"/>
      <c r="M21" s="224"/>
      <c r="N21" s="224"/>
      <c r="O21" s="32"/>
      <c r="P21" s="224">
        <v>103</v>
      </c>
      <c r="Q21" s="224"/>
      <c r="R21" s="32"/>
      <c r="S21" s="32"/>
      <c r="T21" s="32"/>
      <c r="U21" s="32"/>
      <c r="V21" s="32"/>
      <c r="W21" s="32"/>
      <c r="X21" s="32"/>
      <c r="Y21" s="31"/>
      <c r="Z21" s="31"/>
      <c r="AA21" s="31"/>
      <c r="AB21" s="31"/>
      <c r="AC21" s="31"/>
      <c r="AD21" s="31"/>
      <c r="AE21" s="31"/>
    </row>
    <row r="22" spans="1:31" x14ac:dyDescent="0.2">
      <c r="A22" s="15">
        <v>1998</v>
      </c>
      <c r="B22" s="15">
        <v>24</v>
      </c>
      <c r="C22" s="15" t="s">
        <v>189</v>
      </c>
      <c r="D22" s="31">
        <v>894</v>
      </c>
      <c r="E22" s="86">
        <v>4230</v>
      </c>
      <c r="F22" s="85">
        <v>1777</v>
      </c>
      <c r="G22" s="86">
        <v>23347</v>
      </c>
      <c r="H22" s="31">
        <v>179</v>
      </c>
      <c r="I22" s="86">
        <v>23347</v>
      </c>
      <c r="J22" s="32"/>
      <c r="K22" s="31"/>
      <c r="L22" s="32"/>
      <c r="M22" s="224"/>
      <c r="N22" s="224"/>
      <c r="O22" s="32"/>
      <c r="P22" s="32">
        <v>119</v>
      </c>
      <c r="Q22" s="32"/>
      <c r="R22" s="32"/>
      <c r="S22" s="32"/>
      <c r="T22" s="32"/>
      <c r="U22" s="32"/>
      <c r="V22" s="32"/>
      <c r="W22" s="32"/>
      <c r="X22" s="32"/>
      <c r="Y22" s="31"/>
      <c r="Z22" s="31"/>
      <c r="AA22" s="31"/>
      <c r="AB22" s="31"/>
      <c r="AC22" s="31"/>
      <c r="AD22" s="31"/>
      <c r="AE22" s="31"/>
    </row>
    <row r="23" spans="1:31" x14ac:dyDescent="0.2">
      <c r="A23" s="15">
        <v>1999</v>
      </c>
      <c r="B23" s="15">
        <v>24</v>
      </c>
      <c r="C23" s="15" t="s">
        <v>190</v>
      </c>
      <c r="D23" s="31">
        <v>440</v>
      </c>
      <c r="E23" s="86">
        <v>4636</v>
      </c>
      <c r="F23" s="85">
        <v>1848</v>
      </c>
      <c r="G23" s="86">
        <v>23503</v>
      </c>
      <c r="H23" s="31">
        <v>164</v>
      </c>
      <c r="I23" s="32"/>
      <c r="J23" s="86">
        <v>23503</v>
      </c>
      <c r="K23" s="31"/>
      <c r="L23" s="32"/>
      <c r="M23" s="224"/>
      <c r="N23" s="224"/>
      <c r="O23" s="32"/>
      <c r="P23" s="32">
        <v>119</v>
      </c>
      <c r="Q23" s="32"/>
      <c r="R23" s="32"/>
      <c r="S23" s="32"/>
      <c r="T23" s="32"/>
      <c r="U23" s="32"/>
      <c r="V23" s="32"/>
      <c r="W23" s="32"/>
      <c r="X23" s="32"/>
      <c r="Y23" s="31"/>
      <c r="Z23" s="31"/>
      <c r="AA23" s="31"/>
      <c r="AB23" s="31"/>
      <c r="AC23" s="31"/>
      <c r="AD23" s="31"/>
      <c r="AE23" s="31"/>
    </row>
    <row r="24" spans="1:31" x14ac:dyDescent="0.2">
      <c r="A24" s="15">
        <v>2000</v>
      </c>
      <c r="B24" s="15">
        <v>24</v>
      </c>
      <c r="C24" s="15" t="s">
        <v>191</v>
      </c>
      <c r="D24" s="85">
        <v>1211</v>
      </c>
      <c r="E24" s="86">
        <v>5865</v>
      </c>
      <c r="F24" s="85">
        <v>1877</v>
      </c>
      <c r="G24" s="86">
        <v>6529</v>
      </c>
      <c r="H24" s="31">
        <v>423</v>
      </c>
      <c r="I24" s="86">
        <v>6529</v>
      </c>
      <c r="J24" s="32"/>
      <c r="K24" s="31"/>
      <c r="L24" s="32"/>
      <c r="M24" s="224"/>
      <c r="N24" s="224"/>
      <c r="O24" s="32"/>
      <c r="P24" s="32">
        <v>160</v>
      </c>
      <c r="Q24" s="32"/>
      <c r="R24" s="32"/>
      <c r="S24" s="32"/>
      <c r="T24" s="32"/>
      <c r="U24" s="32"/>
      <c r="V24" s="32"/>
      <c r="W24" s="32"/>
      <c r="X24" s="32"/>
      <c r="Y24" s="31"/>
      <c r="Z24" s="31"/>
      <c r="AA24" s="31"/>
      <c r="AB24" s="31"/>
      <c r="AC24" s="31"/>
      <c r="AD24" s="31"/>
      <c r="AE24" s="31"/>
    </row>
    <row r="25" spans="1:31" x14ac:dyDescent="0.2">
      <c r="A25" s="15">
        <v>2001</v>
      </c>
      <c r="B25" s="15">
        <v>24</v>
      </c>
      <c r="C25" s="15" t="s">
        <v>192</v>
      </c>
      <c r="D25" s="85">
        <v>1262</v>
      </c>
      <c r="E25" s="86">
        <v>6201</v>
      </c>
      <c r="F25" s="85">
        <v>2380</v>
      </c>
      <c r="G25" s="86">
        <v>9134</v>
      </c>
      <c r="H25" s="31">
        <v>250</v>
      </c>
      <c r="I25" s="32"/>
      <c r="J25" s="86">
        <v>9134</v>
      </c>
      <c r="K25" s="31"/>
      <c r="L25" s="32"/>
      <c r="M25" s="224"/>
      <c r="N25" s="224"/>
      <c r="O25" s="32"/>
      <c r="P25" s="32">
        <v>125</v>
      </c>
      <c r="Q25" s="32"/>
      <c r="R25" s="32"/>
      <c r="S25" s="32"/>
      <c r="T25" s="32"/>
      <c r="U25" s="32"/>
      <c r="V25" s="32"/>
      <c r="W25" s="32"/>
      <c r="X25" s="32"/>
      <c r="Y25" s="31"/>
      <c r="Z25" s="31"/>
      <c r="AA25" s="31"/>
      <c r="AB25" s="31"/>
      <c r="AC25" s="31"/>
      <c r="AD25" s="31"/>
      <c r="AE25" s="31"/>
    </row>
    <row r="26" spans="1:31" x14ac:dyDescent="0.2">
      <c r="A26" s="15">
        <v>2002</v>
      </c>
      <c r="B26" s="15">
        <v>24</v>
      </c>
      <c r="C26" s="15" t="s">
        <v>193</v>
      </c>
      <c r="D26" s="85">
        <v>1578</v>
      </c>
      <c r="E26" s="86">
        <v>5812</v>
      </c>
      <c r="F26" s="85">
        <v>3766</v>
      </c>
      <c r="G26" s="86">
        <v>5672</v>
      </c>
      <c r="H26" s="31">
        <v>205</v>
      </c>
      <c r="I26" s="86">
        <v>5672</v>
      </c>
      <c r="J26" s="32"/>
      <c r="K26" s="31"/>
      <c r="L26" s="32"/>
      <c r="M26" s="224"/>
      <c r="N26" s="224"/>
      <c r="O26" s="32"/>
      <c r="P26" s="32">
        <v>87</v>
      </c>
      <c r="Q26" s="32"/>
      <c r="R26" s="32"/>
      <c r="S26" s="32"/>
      <c r="T26" s="32"/>
      <c r="U26" s="32"/>
      <c r="V26" s="32"/>
      <c r="W26" s="32"/>
      <c r="X26" s="32"/>
      <c r="Y26" s="31"/>
      <c r="Z26" s="31"/>
      <c r="AA26" s="31"/>
      <c r="AB26" s="31"/>
      <c r="AC26" s="31"/>
      <c r="AD26" s="31"/>
      <c r="AE26" s="31"/>
    </row>
    <row r="27" spans="1:31" x14ac:dyDescent="0.2">
      <c r="A27" s="15">
        <v>2003</v>
      </c>
      <c r="B27" s="15">
        <v>24</v>
      </c>
      <c r="C27" s="15" t="s">
        <v>194</v>
      </c>
      <c r="D27" s="85">
        <v>1351</v>
      </c>
      <c r="E27" s="86">
        <v>5970</v>
      </c>
      <c r="F27" s="85">
        <v>3002</v>
      </c>
      <c r="G27" s="86">
        <v>15492</v>
      </c>
      <c r="H27" s="31">
        <v>268</v>
      </c>
      <c r="I27" s="32"/>
      <c r="J27" s="86">
        <v>15492</v>
      </c>
      <c r="K27" s="31"/>
      <c r="L27" s="32"/>
      <c r="M27" s="224"/>
      <c r="N27" s="224"/>
      <c r="O27" s="32"/>
      <c r="P27" s="32">
        <v>93</v>
      </c>
      <c r="Q27" s="32"/>
      <c r="R27" s="32"/>
      <c r="S27" s="32"/>
      <c r="T27" s="32"/>
      <c r="U27" s="32"/>
      <c r="V27" s="32"/>
      <c r="W27" s="32"/>
      <c r="X27" s="32"/>
      <c r="Y27" s="31"/>
      <c r="Z27" s="31"/>
      <c r="AA27" s="31"/>
      <c r="AB27" s="31"/>
      <c r="AC27" s="31"/>
      <c r="AD27" s="31"/>
      <c r="AE27" s="31"/>
    </row>
    <row r="28" spans="1:31" x14ac:dyDescent="0.2">
      <c r="A28" s="15">
        <v>2004</v>
      </c>
      <c r="B28" s="15">
        <v>24</v>
      </c>
      <c r="C28" s="15" t="s">
        <v>195</v>
      </c>
      <c r="D28" s="85">
        <v>2234</v>
      </c>
      <c r="E28" s="86">
        <v>6255</v>
      </c>
      <c r="F28" s="85">
        <v>3163</v>
      </c>
      <c r="G28" s="86">
        <v>8464</v>
      </c>
      <c r="H28" s="31">
        <v>414</v>
      </c>
      <c r="I28" s="86">
        <v>8464</v>
      </c>
      <c r="J28" s="32"/>
      <c r="K28" s="31"/>
      <c r="L28" s="32"/>
      <c r="M28" s="224"/>
      <c r="N28" s="224"/>
      <c r="O28" s="32"/>
      <c r="P28" s="32">
        <v>63</v>
      </c>
      <c r="Q28" s="32"/>
      <c r="R28" s="32"/>
      <c r="S28" s="32"/>
      <c r="T28" s="32"/>
      <c r="U28" s="32"/>
      <c r="V28" s="32"/>
      <c r="W28" s="32"/>
      <c r="X28" s="32"/>
      <c r="Y28" s="31"/>
      <c r="Z28" s="31"/>
      <c r="AA28" s="31"/>
      <c r="AB28" s="31"/>
      <c r="AC28" s="31"/>
      <c r="AD28" s="31"/>
      <c r="AE28" s="31"/>
    </row>
    <row r="29" spans="1:31" x14ac:dyDescent="0.2">
      <c r="A29" s="15">
        <v>2005</v>
      </c>
      <c r="B29" s="15">
        <v>24</v>
      </c>
      <c r="C29" s="15" t="s">
        <v>196</v>
      </c>
      <c r="D29" s="31">
        <v>517</v>
      </c>
      <c r="E29" s="86">
        <v>3953</v>
      </c>
      <c r="F29" s="85">
        <v>1476</v>
      </c>
      <c r="G29" s="86">
        <v>15839</v>
      </c>
      <c r="H29" s="31">
        <v>258</v>
      </c>
      <c r="I29" s="32"/>
      <c r="J29" s="86">
        <v>15839</v>
      </c>
      <c r="K29" s="31"/>
      <c r="L29" s="32"/>
      <c r="M29" s="224"/>
      <c r="N29" s="224"/>
      <c r="O29" s="32"/>
      <c r="P29" s="32">
        <v>79</v>
      </c>
      <c r="Q29" s="32"/>
      <c r="R29" s="32"/>
      <c r="S29" s="32"/>
      <c r="T29" s="32"/>
      <c r="U29" s="32"/>
      <c r="V29" s="32"/>
      <c r="W29" s="32"/>
      <c r="X29" s="32"/>
      <c r="Y29" s="31"/>
      <c r="Z29" s="31"/>
      <c r="AA29" s="31"/>
      <c r="AB29" s="31"/>
      <c r="AC29" s="31"/>
      <c r="AD29" s="31"/>
      <c r="AE29" s="31"/>
    </row>
    <row r="30" spans="1:31" x14ac:dyDescent="0.2">
      <c r="A30" s="15">
        <v>2006</v>
      </c>
      <c r="B30" s="15">
        <v>24</v>
      </c>
      <c r="C30" s="15" t="s">
        <v>197</v>
      </c>
      <c r="D30" s="31">
        <v>544</v>
      </c>
      <c r="E30" s="86">
        <v>5296</v>
      </c>
      <c r="F30" s="85">
        <v>2811</v>
      </c>
      <c r="G30" s="86">
        <v>21725</v>
      </c>
      <c r="H30" s="31">
        <v>466</v>
      </c>
      <c r="I30" s="86">
        <v>21725</v>
      </c>
      <c r="J30" s="32"/>
      <c r="K30" s="31"/>
      <c r="L30" s="32"/>
      <c r="M30" s="224"/>
      <c r="N30" s="224"/>
      <c r="O30" s="32"/>
      <c r="P30" s="32">
        <v>47</v>
      </c>
      <c r="Q30" s="32"/>
      <c r="R30" s="32"/>
      <c r="S30" s="32"/>
      <c r="T30" s="32"/>
      <c r="U30" s="32"/>
      <c r="V30" s="32"/>
      <c r="W30" s="32"/>
      <c r="X30" s="32"/>
      <c r="Y30" s="31"/>
      <c r="Z30" s="31"/>
      <c r="AA30" s="31"/>
      <c r="AB30" s="31"/>
      <c r="AC30" s="31"/>
      <c r="AD30" s="31"/>
      <c r="AE30" s="31"/>
    </row>
    <row r="31" spans="1:31" x14ac:dyDescent="0.2">
      <c r="A31" s="15">
        <v>2007</v>
      </c>
      <c r="B31" s="15">
        <v>24</v>
      </c>
      <c r="C31" s="15" t="s">
        <v>198</v>
      </c>
      <c r="D31" s="31">
        <v>430</v>
      </c>
      <c r="E31" s="86">
        <v>7698</v>
      </c>
      <c r="F31" s="85">
        <v>2117</v>
      </c>
      <c r="G31" s="86">
        <v>12405</v>
      </c>
      <c r="H31" s="31">
        <v>482</v>
      </c>
      <c r="I31" s="32"/>
      <c r="J31" s="86">
        <v>12405</v>
      </c>
      <c r="K31" s="31"/>
      <c r="L31" s="32"/>
      <c r="M31" s="224"/>
      <c r="N31" s="224"/>
      <c r="O31" s="32"/>
      <c r="P31" s="32">
        <v>57</v>
      </c>
      <c r="Q31" s="32"/>
      <c r="R31" s="32"/>
      <c r="S31" s="32"/>
      <c r="T31" s="32"/>
      <c r="U31" s="32"/>
      <c r="V31" s="32"/>
      <c r="W31" s="32"/>
      <c r="X31" s="32"/>
      <c r="Y31" s="31"/>
      <c r="Z31" s="31"/>
      <c r="AA31" s="31"/>
      <c r="AB31" s="31"/>
      <c r="AC31" s="31"/>
      <c r="AD31" s="31"/>
      <c r="AE31" s="31"/>
    </row>
    <row r="32" spans="1:31" x14ac:dyDescent="0.2">
      <c r="A32" s="15">
        <v>2008</v>
      </c>
      <c r="B32" s="15">
        <v>24</v>
      </c>
      <c r="C32" s="15" t="s">
        <v>199</v>
      </c>
      <c r="D32" s="85">
        <v>1298</v>
      </c>
      <c r="E32" s="86">
        <v>3736</v>
      </c>
      <c r="F32" s="85">
        <v>2213</v>
      </c>
      <c r="G32" s="86">
        <v>4704</v>
      </c>
      <c r="H32" s="31">
        <v>350</v>
      </c>
      <c r="I32" s="86">
        <v>4704</v>
      </c>
      <c r="J32" s="32"/>
      <c r="K32" s="31"/>
      <c r="L32" s="32"/>
      <c r="M32" s="224"/>
      <c r="N32" s="224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1"/>
      <c r="Z32" s="31"/>
      <c r="AA32" s="31"/>
      <c r="AB32" s="31"/>
      <c r="AC32" s="31"/>
      <c r="AD32" s="31"/>
      <c r="AE32" s="31"/>
    </row>
    <row r="33" spans="1:31" x14ac:dyDescent="0.2">
      <c r="A33" s="15">
        <v>2009</v>
      </c>
      <c r="B33" s="15">
        <v>24</v>
      </c>
      <c r="C33" s="15" t="s">
        <v>200</v>
      </c>
      <c r="D33" s="31">
        <v>688</v>
      </c>
      <c r="E33" s="86">
        <v>3489</v>
      </c>
      <c r="F33" s="85">
        <v>3051</v>
      </c>
      <c r="G33" s="86">
        <v>9234</v>
      </c>
      <c r="H33" s="31">
        <v>231</v>
      </c>
      <c r="I33" s="32"/>
      <c r="J33" s="86">
        <v>9225</v>
      </c>
      <c r="K33" s="31"/>
      <c r="L33" s="32"/>
      <c r="M33" s="224"/>
      <c r="N33" s="224"/>
      <c r="O33" s="32"/>
      <c r="P33" s="32">
        <v>52</v>
      </c>
      <c r="Q33" s="32"/>
      <c r="R33" s="32"/>
      <c r="S33" s="32"/>
      <c r="T33" s="32"/>
      <c r="U33" s="32"/>
      <c r="V33" s="32"/>
      <c r="W33" s="32"/>
      <c r="X33" s="32"/>
      <c r="Y33" s="31"/>
      <c r="Z33" s="31"/>
      <c r="AA33" s="31"/>
      <c r="AB33" s="31"/>
      <c r="AC33" s="31"/>
      <c r="AD33" s="31"/>
      <c r="AE33" s="31"/>
    </row>
    <row r="34" spans="1:31" x14ac:dyDescent="0.2">
      <c r="A34" s="15">
        <v>2010</v>
      </c>
      <c r="B34" s="15">
        <v>24</v>
      </c>
      <c r="C34" s="15" t="s">
        <v>200</v>
      </c>
      <c r="D34" s="31">
        <v>778</v>
      </c>
      <c r="E34" s="86">
        <v>3244</v>
      </c>
      <c r="F34" s="85">
        <v>2123</v>
      </c>
      <c r="G34" s="86">
        <v>8868</v>
      </c>
      <c r="H34" s="31">
        <v>94</v>
      </c>
      <c r="I34" s="86">
        <v>8868</v>
      </c>
      <c r="J34" s="32"/>
      <c r="K34" s="31"/>
      <c r="L34" s="32"/>
      <c r="M34" s="224"/>
      <c r="N34" s="224"/>
      <c r="O34" s="32"/>
      <c r="P34" s="32">
        <v>176</v>
      </c>
      <c r="Q34" s="32"/>
      <c r="R34" s="32"/>
      <c r="S34" s="32"/>
      <c r="T34" s="32"/>
      <c r="U34" s="32"/>
      <c r="V34" s="32"/>
      <c r="W34" s="32"/>
      <c r="X34" s="32"/>
      <c r="Y34" s="31"/>
      <c r="Z34" s="31"/>
      <c r="AA34" s="31"/>
      <c r="AB34" s="31"/>
      <c r="AC34" s="31"/>
      <c r="AD34" s="31"/>
      <c r="AE34" s="31"/>
    </row>
    <row r="35" spans="1:31" x14ac:dyDescent="0.2">
      <c r="A35" s="15">
        <v>2011</v>
      </c>
      <c r="B35" s="15">
        <v>24</v>
      </c>
      <c r="C35" s="15" t="s">
        <v>201</v>
      </c>
      <c r="D35" s="31">
        <v>728</v>
      </c>
      <c r="E35" s="86">
        <v>3671</v>
      </c>
      <c r="F35" s="85">
        <v>1843</v>
      </c>
      <c r="G35" s="86">
        <v>17775</v>
      </c>
      <c r="H35" s="31">
        <v>177</v>
      </c>
      <c r="I35" s="32"/>
      <c r="J35" s="86">
        <v>17775</v>
      </c>
      <c r="K35" s="31"/>
      <c r="L35" s="32"/>
      <c r="M35" s="224"/>
      <c r="N35" s="224"/>
      <c r="O35" s="31"/>
      <c r="P35" s="32">
        <v>93</v>
      </c>
      <c r="Q35" s="224"/>
      <c r="R35" s="224"/>
      <c r="S35" s="224"/>
      <c r="T35" s="224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x14ac:dyDescent="0.2">
      <c r="A36" s="15">
        <v>2012</v>
      </c>
      <c r="B36" s="15">
        <v>24</v>
      </c>
      <c r="C36" s="15" t="s">
        <v>202</v>
      </c>
      <c r="D36" s="31">
        <v>598</v>
      </c>
      <c r="E36" s="86">
        <v>4441</v>
      </c>
      <c r="F36" s="31">
        <v>965</v>
      </c>
      <c r="G36" s="86">
        <v>5826</v>
      </c>
      <c r="H36" s="31">
        <v>232</v>
      </c>
      <c r="I36" s="86">
        <v>5826</v>
      </c>
      <c r="J36" s="32"/>
      <c r="K36" s="31"/>
      <c r="L36" s="32"/>
      <c r="M36" s="224"/>
      <c r="N36" s="224"/>
      <c r="O36" s="32"/>
      <c r="P36" s="32">
        <v>24</v>
      </c>
      <c r="Q36" s="32"/>
      <c r="R36" s="32"/>
      <c r="S36" s="32"/>
      <c r="T36" s="32"/>
      <c r="U36" s="32"/>
      <c r="V36" s="32"/>
      <c r="W36" s="32"/>
      <c r="X36" s="32"/>
      <c r="Y36" s="31"/>
      <c r="Z36" s="31"/>
      <c r="AA36" s="31"/>
      <c r="AB36" s="31"/>
      <c r="AC36" s="31"/>
      <c r="AD36" s="31"/>
      <c r="AE36" s="31"/>
    </row>
    <row r="37" spans="1:31" x14ac:dyDescent="0.2">
      <c r="A37" s="15">
        <v>2013</v>
      </c>
      <c r="B37" s="15">
        <v>24</v>
      </c>
      <c r="C37" s="15" t="s">
        <v>203</v>
      </c>
      <c r="D37" s="31">
        <v>796</v>
      </c>
      <c r="E37" s="86">
        <v>4240</v>
      </c>
      <c r="F37" s="85">
        <v>1132</v>
      </c>
      <c r="G37" s="86">
        <v>4666</v>
      </c>
      <c r="H37" s="31">
        <v>269</v>
      </c>
      <c r="I37" s="32"/>
      <c r="J37" s="86">
        <v>4666</v>
      </c>
      <c r="K37" s="31"/>
      <c r="L37" s="32"/>
      <c r="M37" s="224"/>
      <c r="N37" s="224"/>
      <c r="O37" s="31"/>
      <c r="P37" s="32">
        <v>11</v>
      </c>
      <c r="Q37" s="224"/>
      <c r="R37" s="224"/>
      <c r="S37" s="224"/>
      <c r="T37" s="224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x14ac:dyDescent="0.2">
      <c r="A38" s="15">
        <v>2014</v>
      </c>
      <c r="B38" s="15">
        <v>24</v>
      </c>
      <c r="C38" s="15" t="s">
        <v>204</v>
      </c>
      <c r="D38" s="31">
        <v>609</v>
      </c>
      <c r="E38" s="86">
        <v>5342</v>
      </c>
      <c r="F38" s="85">
        <v>3646</v>
      </c>
      <c r="G38" s="86">
        <v>2436</v>
      </c>
      <c r="H38" s="31">
        <v>310</v>
      </c>
      <c r="I38" s="86">
        <v>2436</v>
      </c>
      <c r="J38" s="32"/>
      <c r="K38" s="31"/>
      <c r="L38" s="32"/>
      <c r="M38" s="224"/>
      <c r="N38" s="224"/>
      <c r="O38" s="224"/>
      <c r="P38" s="224"/>
      <c r="Q38" s="224"/>
      <c r="R38" s="224"/>
      <c r="S38" s="224"/>
      <c r="T38" s="224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x14ac:dyDescent="0.2">
      <c r="A39" s="15">
        <v>2015</v>
      </c>
      <c r="B39" s="15">
        <v>24</v>
      </c>
      <c r="C39" s="15" t="s">
        <v>205</v>
      </c>
      <c r="D39" s="31">
        <v>627</v>
      </c>
      <c r="E39" s="86">
        <v>5069</v>
      </c>
      <c r="F39" s="85">
        <v>1889</v>
      </c>
      <c r="G39" s="86">
        <v>24246</v>
      </c>
      <c r="H39" s="31">
        <v>95</v>
      </c>
      <c r="I39" s="32"/>
      <c r="J39" s="86">
        <v>24246</v>
      </c>
      <c r="K39" s="31"/>
      <c r="L39" s="32"/>
      <c r="M39" s="224"/>
      <c r="N39" s="224"/>
      <c r="O39" s="31"/>
      <c r="P39" s="32">
        <v>47</v>
      </c>
      <c r="Q39" s="224"/>
      <c r="R39" s="224"/>
      <c r="S39" s="224"/>
      <c r="T39" s="224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x14ac:dyDescent="0.2">
      <c r="A40" s="15">
        <v>2016</v>
      </c>
      <c r="B40" s="15">
        <v>24</v>
      </c>
      <c r="C40" s="15" t="s">
        <v>206</v>
      </c>
      <c r="D40" s="31">
        <v>142</v>
      </c>
      <c r="E40" s="86">
        <v>4942</v>
      </c>
      <c r="F40" s="31">
        <v>981</v>
      </c>
      <c r="G40" s="86">
        <v>1369</v>
      </c>
      <c r="H40" s="31">
        <v>66</v>
      </c>
      <c r="I40" s="86">
        <v>1369</v>
      </c>
      <c r="J40" s="32"/>
      <c r="K40" s="31">
        <v>164</v>
      </c>
      <c r="L40" s="86">
        <v>1419</v>
      </c>
      <c r="M40" s="31">
        <v>148</v>
      </c>
      <c r="N40" s="85">
        <v>1838</v>
      </c>
      <c r="O40" s="224">
        <v>15</v>
      </c>
      <c r="P40" s="224"/>
      <c r="Q40" s="224"/>
      <c r="R40" s="224"/>
      <c r="S40" s="224"/>
      <c r="T40" s="224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x14ac:dyDescent="0.2">
      <c r="A41" s="15">
        <v>2017</v>
      </c>
      <c r="B41" s="15">
        <v>24</v>
      </c>
      <c r="C41" s="15" t="s">
        <v>207</v>
      </c>
      <c r="D41" s="31">
        <v>293</v>
      </c>
      <c r="E41" s="86">
        <v>4771</v>
      </c>
      <c r="F41" s="31">
        <v>875</v>
      </c>
      <c r="G41" s="86">
        <v>18520</v>
      </c>
      <c r="H41" s="31">
        <v>236</v>
      </c>
      <c r="I41" s="32"/>
      <c r="J41" s="86">
        <v>18520</v>
      </c>
      <c r="K41" s="31">
        <v>30</v>
      </c>
      <c r="L41" s="86">
        <v>1085</v>
      </c>
      <c r="M41" s="31">
        <v>256</v>
      </c>
      <c r="N41" s="85">
        <v>13507</v>
      </c>
      <c r="O41" s="224">
        <v>21</v>
      </c>
      <c r="P41" s="224"/>
      <c r="Q41" s="224"/>
      <c r="R41" s="224"/>
      <c r="S41" s="224"/>
      <c r="T41" s="224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x14ac:dyDescent="0.2">
      <c r="A42" s="15">
        <v>2018</v>
      </c>
      <c r="B42" s="15">
        <v>16</v>
      </c>
      <c r="C42" s="15" t="s">
        <v>208</v>
      </c>
      <c r="D42" s="31">
        <v>155</v>
      </c>
      <c r="E42" s="86">
        <v>3239</v>
      </c>
      <c r="F42" s="31">
        <v>798</v>
      </c>
      <c r="G42" s="86">
        <v>1604</v>
      </c>
      <c r="H42" s="31">
        <v>32</v>
      </c>
      <c r="I42" s="86">
        <v>1604</v>
      </c>
      <c r="J42" s="32"/>
      <c r="K42" s="31"/>
      <c r="L42" s="32"/>
      <c r="M42" s="224"/>
      <c r="N42" s="224"/>
      <c r="O42" s="31"/>
      <c r="P42" s="32">
        <v>12</v>
      </c>
      <c r="Q42" s="224"/>
      <c r="R42" s="224"/>
      <c r="S42" s="224"/>
      <c r="T42" s="224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x14ac:dyDescent="0.2">
      <c r="A43" s="15">
        <v>2019</v>
      </c>
      <c r="B43" s="15">
        <v>16</v>
      </c>
      <c r="C43" s="15" t="s">
        <v>209</v>
      </c>
      <c r="D43" s="31">
        <v>819</v>
      </c>
      <c r="E43" s="86">
        <v>3545</v>
      </c>
      <c r="F43" s="85">
        <v>1692</v>
      </c>
      <c r="G43" s="86">
        <v>16971</v>
      </c>
      <c r="H43" s="31">
        <v>118</v>
      </c>
      <c r="I43" s="32"/>
      <c r="J43" s="86">
        <v>16971</v>
      </c>
      <c r="K43" s="31"/>
      <c r="L43" s="32"/>
      <c r="M43" s="224"/>
      <c r="N43" s="224"/>
      <c r="O43" s="224"/>
      <c r="P43" s="224"/>
      <c r="Q43" s="224"/>
      <c r="R43" s="224"/>
      <c r="S43" s="224"/>
      <c r="T43" s="224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x14ac:dyDescent="0.2">
      <c r="A44" s="15">
        <v>2020</v>
      </c>
      <c r="B44" s="15">
        <v>16</v>
      </c>
      <c r="C44" s="15" t="s">
        <v>210</v>
      </c>
      <c r="D44" s="31">
        <v>333</v>
      </c>
      <c r="E44" s="86">
        <v>2555</v>
      </c>
      <c r="F44" s="31">
        <v>809</v>
      </c>
      <c r="G44" s="86">
        <v>4739</v>
      </c>
      <c r="H44" s="31">
        <v>44</v>
      </c>
      <c r="I44" s="86">
        <v>4739</v>
      </c>
      <c r="J44" s="32"/>
      <c r="K44" s="31"/>
      <c r="L44" s="32"/>
      <c r="M44" s="224"/>
      <c r="N44" s="224"/>
      <c r="O44" s="224"/>
      <c r="P44" s="224"/>
      <c r="Q44" s="224"/>
      <c r="R44" s="224"/>
      <c r="S44" s="224"/>
      <c r="T44" s="224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x14ac:dyDescent="0.2">
      <c r="A45" s="15">
        <v>2021</v>
      </c>
      <c r="B45" s="15">
        <v>16</v>
      </c>
      <c r="C45" s="15" t="s">
        <v>211</v>
      </c>
      <c r="D45" s="31">
        <v>155</v>
      </c>
      <c r="E45" s="86">
        <v>5077</v>
      </c>
      <c r="F45" s="85">
        <v>1162</v>
      </c>
      <c r="G45" s="86">
        <v>26950</v>
      </c>
      <c r="H45" s="31">
        <v>29</v>
      </c>
      <c r="I45" s="32"/>
      <c r="J45" s="86">
        <v>26950</v>
      </c>
      <c r="K45" s="31"/>
      <c r="L45" s="32"/>
      <c r="M45" s="224"/>
      <c r="N45" s="224"/>
      <c r="O45" s="224"/>
      <c r="P45" s="224"/>
      <c r="Q45" s="224"/>
      <c r="R45" s="224"/>
      <c r="S45" s="224"/>
      <c r="T45" s="224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x14ac:dyDescent="0.2">
      <c r="A46" s="15">
        <v>2022</v>
      </c>
      <c r="B46" s="15">
        <v>16</v>
      </c>
      <c r="C46" s="15" t="s">
        <v>262</v>
      </c>
      <c r="D46" s="31">
        <v>716</v>
      </c>
      <c r="E46" s="86">
        <v>7402</v>
      </c>
      <c r="F46" s="85">
        <v>2687</v>
      </c>
      <c r="G46" s="86">
        <v>2042</v>
      </c>
      <c r="H46" s="31">
        <v>150</v>
      </c>
      <c r="I46" s="86">
        <v>2042</v>
      </c>
      <c r="J46" s="32"/>
      <c r="K46" s="31"/>
      <c r="L46" s="32"/>
      <c r="M46" s="224"/>
      <c r="N46" s="224"/>
      <c r="O46" s="224"/>
      <c r="P46" s="224"/>
      <c r="Q46" s="224"/>
      <c r="R46" s="224"/>
      <c r="S46" s="224"/>
      <c r="T46" s="224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x14ac:dyDescent="0.2">
      <c r="A47" s="15">
        <v>2023</v>
      </c>
      <c r="B47" s="15">
        <v>8</v>
      </c>
      <c r="C47" s="15" t="s">
        <v>263</v>
      </c>
      <c r="D47" s="31">
        <v>342</v>
      </c>
      <c r="E47" s="86">
        <v>1694</v>
      </c>
      <c r="F47" s="85">
        <v>1093</v>
      </c>
      <c r="G47" s="86">
        <v>7097</v>
      </c>
      <c r="H47" s="31">
        <v>61</v>
      </c>
      <c r="I47" s="32"/>
      <c r="J47" s="86">
        <v>7097</v>
      </c>
      <c r="K47" s="31"/>
      <c r="L47" s="32"/>
      <c r="M47" s="224"/>
      <c r="N47" s="224"/>
      <c r="O47" s="31"/>
      <c r="P47" s="32">
        <v>9</v>
      </c>
      <c r="Q47" s="224"/>
      <c r="R47" s="224"/>
      <c r="S47" s="224"/>
      <c r="T47" s="224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x14ac:dyDescent="0.2">
      <c r="A48" s="16">
        <v>2024</v>
      </c>
      <c r="B48" s="16">
        <v>8</v>
      </c>
      <c r="C48" s="16" t="s">
        <v>263</v>
      </c>
      <c r="D48" s="37">
        <v>380</v>
      </c>
      <c r="E48" s="87">
        <v>1712</v>
      </c>
      <c r="F48" s="88">
        <v>1116</v>
      </c>
      <c r="G48" s="36">
        <v>284</v>
      </c>
      <c r="H48" s="37">
        <v>34</v>
      </c>
      <c r="I48" s="36">
        <v>284</v>
      </c>
      <c r="J48" s="36"/>
      <c r="K48" s="37"/>
      <c r="L48" s="36"/>
      <c r="M48" s="222"/>
      <c r="N48" s="222"/>
      <c r="O48" s="36"/>
      <c r="P48" s="36"/>
      <c r="Q48" s="32"/>
      <c r="R48" s="32"/>
      <c r="S48" s="32"/>
      <c r="T48" s="32"/>
      <c r="U48" s="32"/>
      <c r="V48" s="32"/>
      <c r="W48" s="32"/>
      <c r="X48" s="32"/>
      <c r="Y48" s="31"/>
      <c r="Z48" s="31"/>
      <c r="AA48" s="31"/>
      <c r="AB48" s="31"/>
      <c r="AC48" s="31"/>
      <c r="AD48" s="31"/>
      <c r="AE48" s="31"/>
    </row>
    <row r="49" spans="1:31" x14ac:dyDescent="0.2">
      <c r="A49" s="15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1"/>
      <c r="M49" s="32"/>
      <c r="N49" s="32"/>
      <c r="O49" s="223"/>
      <c r="P49" s="223"/>
      <c r="Q49" s="224"/>
      <c r="R49" s="224"/>
      <c r="S49" s="224"/>
      <c r="T49" s="224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x14ac:dyDescent="0.2">
      <c r="A50" s="15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</sheetData>
  <mergeCells count="103">
    <mergeCell ref="R5:S5"/>
    <mergeCell ref="T5:U5"/>
    <mergeCell ref="D6:H6"/>
    <mergeCell ref="K6:O6"/>
    <mergeCell ref="P6:Q6"/>
    <mergeCell ref="R6:S6"/>
    <mergeCell ref="T6:U6"/>
    <mergeCell ref="O1:P1"/>
    <mergeCell ref="Q1:R1"/>
    <mergeCell ref="S1:T1"/>
    <mergeCell ref="O2:P2"/>
    <mergeCell ref="Q2:R2"/>
    <mergeCell ref="S2:T2"/>
    <mergeCell ref="O3:P3"/>
    <mergeCell ref="Q3:R3"/>
    <mergeCell ref="S3:T3"/>
    <mergeCell ref="O4:P4"/>
    <mergeCell ref="Q4:R4"/>
    <mergeCell ref="S4:T4"/>
    <mergeCell ref="M5:N5"/>
    <mergeCell ref="P5:Q5"/>
    <mergeCell ref="M14:N14"/>
    <mergeCell ref="P14:Q14"/>
    <mergeCell ref="M15:N15"/>
    <mergeCell ref="P15:Q15"/>
    <mergeCell ref="M16:N16"/>
    <mergeCell ref="P16:Q16"/>
    <mergeCell ref="M11:N11"/>
    <mergeCell ref="P11:Q11"/>
    <mergeCell ref="M12:N12"/>
    <mergeCell ref="P12:Q12"/>
    <mergeCell ref="M13:N13"/>
    <mergeCell ref="P13:Q13"/>
    <mergeCell ref="M20:N20"/>
    <mergeCell ref="P20:Q20"/>
    <mergeCell ref="J21:K21"/>
    <mergeCell ref="M21:N21"/>
    <mergeCell ref="P21:Q21"/>
    <mergeCell ref="M17:N17"/>
    <mergeCell ref="P17:Q17"/>
    <mergeCell ref="M18:N18"/>
    <mergeCell ref="P18:Q18"/>
    <mergeCell ref="M19:N19"/>
    <mergeCell ref="P19:Q19"/>
    <mergeCell ref="M27:N27"/>
    <mergeCell ref="M28:N28"/>
    <mergeCell ref="M29:N29"/>
    <mergeCell ref="M30:N30"/>
    <mergeCell ref="M31:N31"/>
    <mergeCell ref="M22:N22"/>
    <mergeCell ref="M23:N23"/>
    <mergeCell ref="M24:N24"/>
    <mergeCell ref="M25:N25"/>
    <mergeCell ref="M26:N26"/>
    <mergeCell ref="S35:T35"/>
    <mergeCell ref="M36:N36"/>
    <mergeCell ref="M37:N37"/>
    <mergeCell ref="Q37:R37"/>
    <mergeCell ref="S37:T37"/>
    <mergeCell ref="M32:N32"/>
    <mergeCell ref="M33:N33"/>
    <mergeCell ref="M34:N34"/>
    <mergeCell ref="M35:N35"/>
    <mergeCell ref="Q35:R35"/>
    <mergeCell ref="O40:P40"/>
    <mergeCell ref="Q40:R40"/>
    <mergeCell ref="S40:T40"/>
    <mergeCell ref="O41:P41"/>
    <mergeCell ref="Q41:R41"/>
    <mergeCell ref="S41:T41"/>
    <mergeCell ref="M38:N38"/>
    <mergeCell ref="O38:P38"/>
    <mergeCell ref="Q38:R38"/>
    <mergeCell ref="S38:T38"/>
    <mergeCell ref="M39:N39"/>
    <mergeCell ref="Q39:R39"/>
    <mergeCell ref="S39:T39"/>
    <mergeCell ref="M44:N44"/>
    <mergeCell ref="O44:P44"/>
    <mergeCell ref="Q44:R44"/>
    <mergeCell ref="S44:T44"/>
    <mergeCell ref="M45:N45"/>
    <mergeCell ref="O45:P45"/>
    <mergeCell ref="Q45:R45"/>
    <mergeCell ref="S45:T45"/>
    <mergeCell ref="M42:N42"/>
    <mergeCell ref="Q42:R42"/>
    <mergeCell ref="S42:T42"/>
    <mergeCell ref="M43:N43"/>
    <mergeCell ref="O43:P43"/>
    <mergeCell ref="Q43:R43"/>
    <mergeCell ref="S43:T43"/>
    <mergeCell ref="M48:N48"/>
    <mergeCell ref="O49:P49"/>
    <mergeCell ref="Q49:R49"/>
    <mergeCell ref="S49:T49"/>
    <mergeCell ref="M46:N46"/>
    <mergeCell ref="O46:P46"/>
    <mergeCell ref="Q46:R46"/>
    <mergeCell ref="S46:T46"/>
    <mergeCell ref="M47:N47"/>
    <mergeCell ref="Q47:R47"/>
    <mergeCell ref="S47:T47"/>
  </mergeCells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8"/>
  <sheetViews>
    <sheetView topLeftCell="A21" workbookViewId="0">
      <selection activeCell="G21" sqref="G21"/>
    </sheetView>
  </sheetViews>
  <sheetFormatPr baseColWidth="10" defaultColWidth="8.83203125" defaultRowHeight="15" x14ac:dyDescent="0.2"/>
  <cols>
    <col min="4" max="4" width="12" customWidth="1"/>
  </cols>
  <sheetData>
    <row r="1" spans="1:7" x14ac:dyDescent="0.2">
      <c r="A1" s="102" t="s">
        <v>319</v>
      </c>
      <c r="B1" s="41"/>
      <c r="C1" s="41"/>
      <c r="D1" s="41"/>
      <c r="E1" s="41"/>
      <c r="F1" s="41"/>
      <c r="G1" s="41"/>
    </row>
    <row r="2" spans="1:7" x14ac:dyDescent="0.2">
      <c r="A2" s="108" t="s">
        <v>320</v>
      </c>
      <c r="B2" s="108"/>
      <c r="C2" s="108"/>
      <c r="D2" s="108"/>
      <c r="E2" s="108"/>
      <c r="F2" s="108"/>
      <c r="G2" s="108"/>
    </row>
    <row r="3" spans="1:7" ht="17" x14ac:dyDescent="0.3">
      <c r="A3" s="40"/>
      <c r="B3" s="38" t="s">
        <v>86</v>
      </c>
      <c r="C3" s="193" t="s">
        <v>64</v>
      </c>
      <c r="D3" s="193"/>
      <c r="E3" s="193" t="s">
        <v>321</v>
      </c>
      <c r="F3" s="193"/>
      <c r="G3" s="109"/>
    </row>
    <row r="4" spans="1:7" x14ac:dyDescent="0.2">
      <c r="A4" s="110" t="s">
        <v>10</v>
      </c>
      <c r="B4" s="111" t="s">
        <v>212</v>
      </c>
      <c r="C4" s="41" t="s">
        <v>213</v>
      </c>
      <c r="D4" s="41" t="s">
        <v>214</v>
      </c>
      <c r="E4" s="41" t="s">
        <v>213</v>
      </c>
      <c r="F4" s="41" t="s">
        <v>214</v>
      </c>
      <c r="G4" s="111" t="s">
        <v>13</v>
      </c>
    </row>
    <row r="5" spans="1:7" x14ac:dyDescent="0.2">
      <c r="A5" s="40">
        <v>1976</v>
      </c>
      <c r="B5" s="39">
        <v>1278</v>
      </c>
      <c r="C5" s="38"/>
      <c r="D5" s="38">
        <v>125</v>
      </c>
      <c r="E5" s="112">
        <v>0</v>
      </c>
      <c r="F5" s="112">
        <v>9</v>
      </c>
      <c r="G5" s="113">
        <v>1153</v>
      </c>
    </row>
    <row r="6" spans="1:7" x14ac:dyDescent="0.2">
      <c r="A6" s="40">
        <v>1977</v>
      </c>
      <c r="B6" s="39">
        <v>3144</v>
      </c>
      <c r="C6" s="38"/>
      <c r="D6" s="38">
        <v>250</v>
      </c>
      <c r="E6" s="112">
        <v>0</v>
      </c>
      <c r="F6" s="112">
        <v>17</v>
      </c>
      <c r="G6" s="113">
        <v>2894</v>
      </c>
    </row>
    <row r="7" spans="1:7" x14ac:dyDescent="0.2">
      <c r="A7" s="40">
        <v>1978</v>
      </c>
      <c r="B7" s="39">
        <v>2976</v>
      </c>
      <c r="C7" s="38"/>
      <c r="D7" s="38">
        <v>300</v>
      </c>
      <c r="E7" s="112">
        <v>0</v>
      </c>
      <c r="F7" s="112">
        <v>21</v>
      </c>
      <c r="G7" s="113">
        <v>2676</v>
      </c>
    </row>
    <row r="8" spans="1:7" x14ac:dyDescent="0.2">
      <c r="A8" s="40">
        <v>1979</v>
      </c>
      <c r="B8" s="39">
        <v>4404</v>
      </c>
      <c r="C8" s="38"/>
      <c r="D8" s="39">
        <v>1950</v>
      </c>
      <c r="E8" s="112">
        <v>0</v>
      </c>
      <c r="F8" s="112">
        <v>135</v>
      </c>
      <c r="G8" s="113">
        <v>2454</v>
      </c>
    </row>
    <row r="9" spans="1:7" x14ac:dyDescent="0.2">
      <c r="A9" s="40">
        <v>1980</v>
      </c>
      <c r="B9" s="39">
        <v>2637</v>
      </c>
      <c r="C9" s="38"/>
      <c r="D9" s="38">
        <v>150</v>
      </c>
      <c r="E9" s="112">
        <v>0</v>
      </c>
      <c r="F9" s="112">
        <v>10</v>
      </c>
      <c r="G9" s="113">
        <v>2487</v>
      </c>
    </row>
    <row r="10" spans="1:7" x14ac:dyDescent="0.2">
      <c r="A10" s="40">
        <v>1981</v>
      </c>
      <c r="B10" s="39">
        <v>2113</v>
      </c>
      <c r="C10" s="38"/>
      <c r="D10" s="38">
        <v>150</v>
      </c>
      <c r="E10" s="112">
        <v>0</v>
      </c>
      <c r="F10" s="112">
        <v>10</v>
      </c>
      <c r="G10" s="113">
        <v>1963</v>
      </c>
    </row>
    <row r="11" spans="1:7" x14ac:dyDescent="0.2">
      <c r="A11" s="40">
        <v>1982</v>
      </c>
      <c r="B11" s="39">
        <v>2369</v>
      </c>
      <c r="C11" s="38"/>
      <c r="D11" s="38">
        <v>400</v>
      </c>
      <c r="E11" s="112">
        <v>0</v>
      </c>
      <c r="F11" s="112">
        <v>28</v>
      </c>
      <c r="G11" s="113">
        <v>1969</v>
      </c>
    </row>
    <row r="12" spans="1:7" x14ac:dyDescent="0.2">
      <c r="A12" s="40">
        <v>1983</v>
      </c>
      <c r="B12" s="39">
        <v>2537</v>
      </c>
      <c r="C12" s="38"/>
      <c r="D12" s="38">
        <v>300</v>
      </c>
      <c r="E12" s="112">
        <v>0</v>
      </c>
      <c r="F12" s="112">
        <v>21</v>
      </c>
      <c r="G12" s="113">
        <v>2237</v>
      </c>
    </row>
    <row r="13" spans="1:7" x14ac:dyDescent="0.2">
      <c r="A13" s="40">
        <v>1984</v>
      </c>
      <c r="B13" s="39">
        <v>1672</v>
      </c>
      <c r="C13" s="38"/>
      <c r="D13" s="38">
        <v>100</v>
      </c>
      <c r="E13" s="112">
        <v>0</v>
      </c>
      <c r="F13" s="112">
        <v>7</v>
      </c>
      <c r="G13" s="113">
        <v>1572</v>
      </c>
    </row>
    <row r="14" spans="1:7" x14ac:dyDescent="0.2">
      <c r="A14" s="40">
        <v>1985</v>
      </c>
      <c r="B14" s="39">
        <v>1458</v>
      </c>
      <c r="C14" s="38"/>
      <c r="D14" s="38">
        <v>175</v>
      </c>
      <c r="E14" s="112">
        <v>0</v>
      </c>
      <c r="F14" s="112">
        <v>12</v>
      </c>
      <c r="G14" s="113">
        <v>1283</v>
      </c>
    </row>
    <row r="15" spans="1:7" x14ac:dyDescent="0.2">
      <c r="A15" s="40">
        <v>1986</v>
      </c>
      <c r="B15" s="39">
        <v>2709</v>
      </c>
      <c r="C15" s="38"/>
      <c r="D15" s="38">
        <v>102</v>
      </c>
      <c r="E15" s="112">
        <v>0</v>
      </c>
      <c r="F15" s="112">
        <v>7</v>
      </c>
      <c r="G15" s="113">
        <v>2607</v>
      </c>
    </row>
    <row r="16" spans="1:7" x14ac:dyDescent="0.2">
      <c r="A16" s="40">
        <v>1987</v>
      </c>
      <c r="B16" s="39">
        <v>2616</v>
      </c>
      <c r="C16" s="38"/>
      <c r="D16" s="38">
        <v>125</v>
      </c>
      <c r="E16" s="112">
        <v>0</v>
      </c>
      <c r="F16" s="112">
        <v>9</v>
      </c>
      <c r="G16" s="113">
        <v>2491</v>
      </c>
    </row>
    <row r="17" spans="1:7" x14ac:dyDescent="0.2">
      <c r="A17" s="40">
        <v>1988</v>
      </c>
      <c r="B17" s="39">
        <v>2037</v>
      </c>
      <c r="C17" s="38"/>
      <c r="D17" s="38">
        <v>43</v>
      </c>
      <c r="E17" s="112">
        <v>0</v>
      </c>
      <c r="F17" s="112">
        <v>3</v>
      </c>
      <c r="G17" s="113">
        <v>1994</v>
      </c>
    </row>
    <row r="18" spans="1:7" x14ac:dyDescent="0.2">
      <c r="A18" s="40">
        <v>1989</v>
      </c>
      <c r="B18" s="39">
        <v>2456</v>
      </c>
      <c r="C18" s="38"/>
      <c r="D18" s="38">
        <v>167</v>
      </c>
      <c r="E18" s="112">
        <v>0</v>
      </c>
      <c r="F18" s="112">
        <v>12</v>
      </c>
      <c r="G18" s="113">
        <v>2289</v>
      </c>
    </row>
    <row r="19" spans="1:7" x14ac:dyDescent="0.2">
      <c r="A19" s="40">
        <v>1990</v>
      </c>
      <c r="B19" s="39">
        <v>1915</v>
      </c>
      <c r="C19" s="38"/>
      <c r="D19" s="38">
        <v>173</v>
      </c>
      <c r="E19" s="112">
        <v>0</v>
      </c>
      <c r="F19" s="112">
        <v>12</v>
      </c>
      <c r="G19" s="113">
        <v>1742</v>
      </c>
    </row>
    <row r="20" spans="1:7" x14ac:dyDescent="0.2">
      <c r="A20" s="40">
        <v>1991</v>
      </c>
      <c r="B20" s="39">
        <v>2489</v>
      </c>
      <c r="C20" s="38"/>
      <c r="D20" s="38">
        <v>241</v>
      </c>
      <c r="E20" s="112">
        <v>0</v>
      </c>
      <c r="F20" s="112">
        <v>17</v>
      </c>
      <c r="G20" s="113">
        <v>2248</v>
      </c>
    </row>
    <row r="21" spans="1:7" x14ac:dyDescent="0.2">
      <c r="A21" s="40">
        <v>1992</v>
      </c>
      <c r="B21" s="39">
        <v>1367</v>
      </c>
      <c r="C21" s="38"/>
      <c r="D21" s="38">
        <v>125</v>
      </c>
      <c r="E21" s="112">
        <v>0</v>
      </c>
      <c r="F21" s="112">
        <v>9</v>
      </c>
      <c r="G21" s="113">
        <v>1242</v>
      </c>
    </row>
    <row r="22" spans="1:7" x14ac:dyDescent="0.2">
      <c r="A22" s="40">
        <v>1993</v>
      </c>
      <c r="B22" s="39">
        <v>3302</v>
      </c>
      <c r="C22" s="38"/>
      <c r="D22" s="38">
        <v>82</v>
      </c>
      <c r="E22" s="112">
        <v>0</v>
      </c>
      <c r="F22" s="112">
        <v>6</v>
      </c>
      <c r="G22" s="113">
        <v>3220</v>
      </c>
    </row>
    <row r="23" spans="1:7" x14ac:dyDescent="0.2">
      <c r="A23" s="40">
        <v>1994</v>
      </c>
      <c r="B23" s="39">
        <v>3727</v>
      </c>
      <c r="C23" s="89"/>
      <c r="D23" s="38">
        <v>99</v>
      </c>
      <c r="E23" s="112">
        <v>0</v>
      </c>
      <c r="F23" s="112">
        <v>7</v>
      </c>
      <c r="G23" s="113">
        <v>3628</v>
      </c>
    </row>
    <row r="24" spans="1:7" x14ac:dyDescent="0.2">
      <c r="A24" s="40">
        <v>1995</v>
      </c>
      <c r="B24" s="39">
        <v>5678</v>
      </c>
      <c r="C24" s="89"/>
      <c r="D24" s="38">
        <v>284</v>
      </c>
      <c r="E24" s="112">
        <v>0</v>
      </c>
      <c r="F24" s="112">
        <v>20</v>
      </c>
      <c r="G24" s="113">
        <v>5394</v>
      </c>
    </row>
    <row r="25" spans="1:7" x14ac:dyDescent="0.2">
      <c r="A25" s="40">
        <v>1996</v>
      </c>
      <c r="B25" s="39">
        <v>3599</v>
      </c>
      <c r="C25" s="89"/>
      <c r="D25" s="38">
        <v>217</v>
      </c>
      <c r="E25" s="112">
        <v>0</v>
      </c>
      <c r="F25" s="112">
        <v>15</v>
      </c>
      <c r="G25" s="113">
        <v>3382</v>
      </c>
    </row>
    <row r="26" spans="1:7" x14ac:dyDescent="0.2">
      <c r="A26" s="40">
        <v>1997</v>
      </c>
      <c r="B26" s="39">
        <v>2989</v>
      </c>
      <c r="C26" s="89"/>
      <c r="D26" s="38">
        <v>160</v>
      </c>
      <c r="E26" s="112">
        <v>0</v>
      </c>
      <c r="F26" s="112">
        <v>11</v>
      </c>
      <c r="G26" s="113">
        <v>2829</v>
      </c>
    </row>
    <row r="27" spans="1:7" x14ac:dyDescent="0.2">
      <c r="A27" s="40">
        <v>1998</v>
      </c>
      <c r="B27" s="39">
        <v>1364</v>
      </c>
      <c r="C27" s="89"/>
      <c r="D27" s="38">
        <v>17</v>
      </c>
      <c r="E27" s="112">
        <v>0</v>
      </c>
      <c r="F27" s="112">
        <v>1</v>
      </c>
      <c r="G27" s="113">
        <v>1347</v>
      </c>
    </row>
    <row r="28" spans="1:7" x14ac:dyDescent="0.2">
      <c r="A28" s="40">
        <v>1999</v>
      </c>
      <c r="B28" s="39">
        <v>2193</v>
      </c>
      <c r="C28" s="89"/>
      <c r="D28" s="38">
        <v>25</v>
      </c>
      <c r="E28" s="112">
        <v>0</v>
      </c>
      <c r="F28" s="112">
        <v>2</v>
      </c>
      <c r="G28" s="113">
        <v>2168</v>
      </c>
    </row>
    <row r="29" spans="1:7" x14ac:dyDescent="0.2">
      <c r="A29" s="40">
        <v>2000</v>
      </c>
      <c r="B29" s="39">
        <v>1365</v>
      </c>
      <c r="C29" s="89"/>
      <c r="D29" s="38">
        <v>44</v>
      </c>
      <c r="E29" s="112">
        <v>0</v>
      </c>
      <c r="F29" s="112">
        <v>3</v>
      </c>
      <c r="G29" s="113">
        <v>1321</v>
      </c>
    </row>
    <row r="30" spans="1:7" x14ac:dyDescent="0.2">
      <c r="A30" s="40">
        <v>2001</v>
      </c>
      <c r="B30" s="39">
        <v>1825</v>
      </c>
      <c r="C30" s="89"/>
      <c r="D30" s="38">
        <v>87</v>
      </c>
      <c r="E30" s="112">
        <v>0</v>
      </c>
      <c r="F30" s="112">
        <v>6</v>
      </c>
      <c r="G30" s="113">
        <v>1738</v>
      </c>
    </row>
    <row r="31" spans="1:7" x14ac:dyDescent="0.2">
      <c r="A31" s="40">
        <v>2002</v>
      </c>
      <c r="B31" s="39">
        <v>2240</v>
      </c>
      <c r="C31" s="89"/>
      <c r="D31" s="38">
        <v>106</v>
      </c>
      <c r="E31" s="112">
        <v>0</v>
      </c>
      <c r="F31" s="112">
        <v>7</v>
      </c>
      <c r="G31" s="113">
        <v>2134</v>
      </c>
    </row>
    <row r="32" spans="1:7" x14ac:dyDescent="0.2">
      <c r="A32" s="40">
        <v>2003</v>
      </c>
      <c r="B32" s="39">
        <v>1737</v>
      </c>
      <c r="C32" s="89"/>
      <c r="D32" s="38">
        <v>76</v>
      </c>
      <c r="E32" s="112">
        <v>0</v>
      </c>
      <c r="F32" s="112">
        <v>5</v>
      </c>
      <c r="G32" s="113">
        <v>1661</v>
      </c>
    </row>
    <row r="33" spans="1:7" x14ac:dyDescent="0.2">
      <c r="A33" s="40">
        <v>2004</v>
      </c>
      <c r="B33" s="39">
        <v>2525</v>
      </c>
      <c r="C33" s="89"/>
      <c r="D33" s="38">
        <v>80</v>
      </c>
      <c r="E33" s="112">
        <v>0</v>
      </c>
      <c r="F33" s="112">
        <v>6</v>
      </c>
      <c r="G33" s="113">
        <v>2445</v>
      </c>
    </row>
    <row r="34" spans="1:7" x14ac:dyDescent="0.2">
      <c r="A34" s="40">
        <v>2005</v>
      </c>
      <c r="B34" s="39">
        <v>1070</v>
      </c>
      <c r="C34" s="89"/>
      <c r="D34" s="38">
        <v>107</v>
      </c>
      <c r="E34" s="112">
        <v>0</v>
      </c>
      <c r="F34" s="112">
        <v>7</v>
      </c>
      <c r="G34" s="112">
        <v>963</v>
      </c>
    </row>
    <row r="35" spans="1:7" x14ac:dyDescent="0.2">
      <c r="A35" s="40">
        <v>2006</v>
      </c>
      <c r="B35" s="38">
        <v>568</v>
      </c>
      <c r="C35" s="89"/>
      <c r="D35" s="38">
        <v>2</v>
      </c>
      <c r="E35" s="112">
        <v>0</v>
      </c>
      <c r="F35" s="112">
        <v>0</v>
      </c>
      <c r="G35" s="112">
        <v>566</v>
      </c>
    </row>
    <row r="36" spans="1:7" x14ac:dyDescent="0.2">
      <c r="A36" s="40">
        <v>2007</v>
      </c>
      <c r="B36" s="38">
        <v>677</v>
      </c>
      <c r="C36" s="89"/>
      <c r="D36" s="38">
        <v>1</v>
      </c>
      <c r="E36" s="112">
        <v>0</v>
      </c>
      <c r="F36" s="112">
        <v>0</v>
      </c>
      <c r="G36" s="112">
        <v>676</v>
      </c>
    </row>
    <row r="37" spans="1:7" x14ac:dyDescent="0.2">
      <c r="A37" s="40">
        <v>2008</v>
      </c>
      <c r="B37" s="38">
        <v>466</v>
      </c>
      <c r="C37" s="89"/>
      <c r="D37" s="38">
        <v>0</v>
      </c>
      <c r="E37" s="112">
        <v>0</v>
      </c>
      <c r="F37" s="112">
        <v>0</v>
      </c>
      <c r="G37" s="112">
        <v>466</v>
      </c>
    </row>
    <row r="38" spans="1:7" x14ac:dyDescent="0.2">
      <c r="A38" s="40">
        <v>2009</v>
      </c>
      <c r="B38" s="39">
        <v>1571</v>
      </c>
      <c r="C38" s="38">
        <v>1</v>
      </c>
      <c r="D38" s="38">
        <v>52</v>
      </c>
      <c r="E38" s="112">
        <v>0</v>
      </c>
      <c r="F38" s="112">
        <v>4</v>
      </c>
      <c r="G38" s="113">
        <v>1518</v>
      </c>
    </row>
    <row r="39" spans="1:7" x14ac:dyDescent="0.2">
      <c r="A39" s="40">
        <v>2010</v>
      </c>
      <c r="B39" s="39">
        <v>2358</v>
      </c>
      <c r="C39" s="38">
        <v>0</v>
      </c>
      <c r="D39" s="38">
        <v>99</v>
      </c>
      <c r="E39" s="112">
        <v>0</v>
      </c>
      <c r="F39" s="112">
        <v>7</v>
      </c>
      <c r="G39" s="113">
        <v>2259</v>
      </c>
    </row>
    <row r="40" spans="1:7" x14ac:dyDescent="0.2">
      <c r="A40" s="40">
        <v>2011</v>
      </c>
      <c r="B40" s="39">
        <v>1671</v>
      </c>
      <c r="C40" s="38">
        <v>3</v>
      </c>
      <c r="D40" s="38">
        <v>58</v>
      </c>
      <c r="E40" s="112">
        <v>0</v>
      </c>
      <c r="F40" s="112">
        <v>4</v>
      </c>
      <c r="G40" s="113">
        <v>1610</v>
      </c>
    </row>
    <row r="41" spans="1:7" x14ac:dyDescent="0.2">
      <c r="A41" s="40">
        <v>2012</v>
      </c>
      <c r="B41" s="38">
        <v>693</v>
      </c>
      <c r="C41" s="38">
        <v>0</v>
      </c>
      <c r="D41" s="38">
        <v>0</v>
      </c>
      <c r="E41" s="112">
        <v>0</v>
      </c>
      <c r="F41" s="112">
        <v>0</v>
      </c>
      <c r="G41" s="112">
        <v>693</v>
      </c>
    </row>
    <row r="42" spans="1:7" x14ac:dyDescent="0.2">
      <c r="A42" s="40">
        <v>2013</v>
      </c>
      <c r="B42" s="39">
        <v>1261</v>
      </c>
      <c r="C42" s="38">
        <v>0</v>
      </c>
      <c r="D42" s="38">
        <v>34</v>
      </c>
      <c r="E42" s="112">
        <v>0</v>
      </c>
      <c r="F42" s="112">
        <v>2</v>
      </c>
      <c r="G42" s="113">
        <v>1227</v>
      </c>
    </row>
    <row r="43" spans="1:7" x14ac:dyDescent="0.2">
      <c r="A43" s="40">
        <v>2014</v>
      </c>
      <c r="B43" s="38">
        <v>841</v>
      </c>
      <c r="C43" s="38">
        <v>0</v>
      </c>
      <c r="D43" s="38">
        <v>9</v>
      </c>
      <c r="E43" s="112">
        <v>0</v>
      </c>
      <c r="F43" s="112">
        <v>1</v>
      </c>
      <c r="G43" s="112">
        <v>832</v>
      </c>
    </row>
    <row r="44" spans="1:7" x14ac:dyDescent="0.2">
      <c r="A44" s="40">
        <v>2015</v>
      </c>
      <c r="B44" s="39">
        <v>1432</v>
      </c>
      <c r="C44" s="38">
        <v>0</v>
      </c>
      <c r="D44" s="38">
        <v>44</v>
      </c>
      <c r="E44" s="112">
        <v>0</v>
      </c>
      <c r="F44" s="112">
        <v>3</v>
      </c>
      <c r="G44" s="113">
        <v>1388</v>
      </c>
    </row>
    <row r="45" spans="1:7" x14ac:dyDescent="0.2">
      <c r="A45" s="40">
        <v>2016</v>
      </c>
      <c r="B45" s="38">
        <v>651</v>
      </c>
      <c r="C45" s="38">
        <v>0</v>
      </c>
      <c r="D45" s="38">
        <v>5</v>
      </c>
      <c r="E45" s="112">
        <v>0</v>
      </c>
      <c r="F45" s="112">
        <v>0</v>
      </c>
      <c r="G45" s="112">
        <v>646</v>
      </c>
    </row>
    <row r="46" spans="1:7" x14ac:dyDescent="0.2">
      <c r="A46" s="40">
        <v>2017</v>
      </c>
      <c r="B46" s="38">
        <v>448</v>
      </c>
      <c r="C46" s="38">
        <v>0</v>
      </c>
      <c r="D46" s="38">
        <v>5</v>
      </c>
      <c r="E46" s="112">
        <v>0</v>
      </c>
      <c r="F46" s="112">
        <v>0</v>
      </c>
      <c r="G46" s="112">
        <v>443</v>
      </c>
    </row>
    <row r="47" spans="1:7" x14ac:dyDescent="0.2">
      <c r="A47" s="40">
        <v>2018</v>
      </c>
      <c r="B47" s="39">
        <v>1087</v>
      </c>
      <c r="C47" s="38">
        <v>0</v>
      </c>
      <c r="D47" s="38">
        <v>0</v>
      </c>
      <c r="E47" s="112">
        <v>0</v>
      </c>
      <c r="F47" s="112">
        <v>0</v>
      </c>
      <c r="G47" s="113">
        <v>1087</v>
      </c>
    </row>
    <row r="48" spans="1:7" x14ac:dyDescent="0.2">
      <c r="A48" s="40">
        <v>2019</v>
      </c>
      <c r="B48" s="39">
        <v>1589</v>
      </c>
      <c r="C48" s="38">
        <v>0</v>
      </c>
      <c r="D48" s="38">
        <v>16</v>
      </c>
      <c r="E48" s="112">
        <v>0</v>
      </c>
      <c r="F48" s="112">
        <v>1</v>
      </c>
      <c r="G48" s="113">
        <v>1573</v>
      </c>
    </row>
    <row r="49" spans="1:7" x14ac:dyDescent="0.2">
      <c r="A49" s="40">
        <v>2020</v>
      </c>
      <c r="B49" s="39">
        <v>1327</v>
      </c>
      <c r="C49" s="38">
        <v>0</v>
      </c>
      <c r="D49" s="38">
        <v>11</v>
      </c>
      <c r="E49" s="112">
        <v>0</v>
      </c>
      <c r="F49" s="112">
        <v>1</v>
      </c>
      <c r="G49" s="113">
        <v>1316</v>
      </c>
    </row>
    <row r="50" spans="1:7" x14ac:dyDescent="0.2">
      <c r="A50" s="40">
        <v>2021</v>
      </c>
      <c r="B50" s="39">
        <v>1401</v>
      </c>
      <c r="C50" s="38">
        <v>0</v>
      </c>
      <c r="D50" s="38">
        <v>21</v>
      </c>
      <c r="E50" s="112">
        <v>0</v>
      </c>
      <c r="F50" s="112">
        <v>1</v>
      </c>
      <c r="G50" s="113">
        <v>1380</v>
      </c>
    </row>
    <row r="51" spans="1:7" x14ac:dyDescent="0.2">
      <c r="A51" s="40">
        <v>2022</v>
      </c>
      <c r="B51" s="38">
        <v>941</v>
      </c>
      <c r="C51" s="38">
        <v>0</v>
      </c>
      <c r="D51" s="38">
        <v>7</v>
      </c>
      <c r="E51" s="112">
        <v>0</v>
      </c>
      <c r="F51" s="112">
        <v>0</v>
      </c>
      <c r="G51" s="112">
        <v>934</v>
      </c>
    </row>
    <row r="52" spans="1:7" x14ac:dyDescent="0.2">
      <c r="A52" s="40">
        <v>2023</v>
      </c>
      <c r="B52" s="39">
        <v>1064</v>
      </c>
      <c r="C52" s="38">
        <v>0</v>
      </c>
      <c r="D52" s="38">
        <v>11</v>
      </c>
      <c r="E52" s="112">
        <v>0</v>
      </c>
      <c r="F52" s="112">
        <v>1</v>
      </c>
      <c r="G52" s="113">
        <v>1053</v>
      </c>
    </row>
    <row r="53" spans="1:7" x14ac:dyDescent="0.2">
      <c r="A53" s="102">
        <v>2024</v>
      </c>
      <c r="B53" s="114">
        <v>1363</v>
      </c>
      <c r="C53" s="115">
        <v>0</v>
      </c>
      <c r="D53" s="115">
        <v>20</v>
      </c>
      <c r="E53" s="115">
        <v>0</v>
      </c>
      <c r="F53" s="115">
        <v>1</v>
      </c>
      <c r="G53" s="114">
        <v>1343</v>
      </c>
    </row>
    <row r="54" spans="1:7" x14ac:dyDescent="0.2">
      <c r="A54" s="116" t="s">
        <v>24</v>
      </c>
      <c r="B54" s="38"/>
      <c r="C54" s="38"/>
      <c r="D54" s="38"/>
      <c r="E54" s="38"/>
      <c r="F54" s="38"/>
      <c r="G54" s="38"/>
    </row>
    <row r="55" spans="1:7" x14ac:dyDescent="0.2">
      <c r="A55" s="117" t="s">
        <v>322</v>
      </c>
      <c r="B55" s="113">
        <v>1955</v>
      </c>
      <c r="C55" s="112"/>
      <c r="D55" s="112">
        <v>138</v>
      </c>
      <c r="E55" s="112">
        <v>0</v>
      </c>
      <c r="F55" s="112">
        <v>10</v>
      </c>
      <c r="G55" s="113">
        <v>1817</v>
      </c>
    </row>
    <row r="56" spans="1:7" x14ac:dyDescent="0.2">
      <c r="A56" s="118" t="s">
        <v>302</v>
      </c>
      <c r="B56" s="114">
        <v>1078</v>
      </c>
      <c r="C56" s="115"/>
      <c r="D56" s="115">
        <v>13</v>
      </c>
      <c r="E56" s="115">
        <v>0</v>
      </c>
      <c r="F56" s="115">
        <v>1</v>
      </c>
      <c r="G56" s="114">
        <v>1065</v>
      </c>
    </row>
    <row r="57" spans="1:7" x14ac:dyDescent="0.2">
      <c r="A57" s="116" t="s">
        <v>215</v>
      </c>
      <c r="B57" s="38"/>
      <c r="C57" s="38"/>
      <c r="D57" s="38"/>
      <c r="E57" s="38"/>
      <c r="F57" s="38"/>
      <c r="G57" s="89"/>
    </row>
    <row r="58" spans="1:7" x14ac:dyDescent="0.2">
      <c r="A58" s="116"/>
      <c r="B58" s="38"/>
      <c r="C58" s="38"/>
      <c r="D58" s="38"/>
      <c r="E58" s="38"/>
      <c r="F58" s="38"/>
      <c r="G58" s="38"/>
    </row>
  </sheetData>
  <mergeCells count="2">
    <mergeCell ref="C3:D3"/>
    <mergeCell ref="E3:F3"/>
  </mergeCells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5"/>
  <sheetViews>
    <sheetView topLeftCell="A13" workbookViewId="0">
      <selection activeCell="J24" sqref="J24"/>
    </sheetView>
  </sheetViews>
  <sheetFormatPr baseColWidth="10" defaultColWidth="8.83203125" defaultRowHeight="15" x14ac:dyDescent="0.2"/>
  <cols>
    <col min="5" max="5" width="15.83203125" customWidth="1"/>
  </cols>
  <sheetData>
    <row r="1" spans="1:6" x14ac:dyDescent="0.2">
      <c r="A1" s="102" t="s">
        <v>216</v>
      </c>
      <c r="B1" s="41"/>
      <c r="C1" s="41"/>
      <c r="D1" s="41"/>
      <c r="E1" s="38"/>
      <c r="F1" s="38"/>
    </row>
    <row r="2" spans="1:6" x14ac:dyDescent="0.2">
      <c r="A2" s="108" t="s">
        <v>323</v>
      </c>
      <c r="B2" s="105"/>
      <c r="C2" s="105"/>
      <c r="D2" s="105"/>
      <c r="E2" s="105"/>
      <c r="F2" s="38"/>
    </row>
    <row r="3" spans="1:6" x14ac:dyDescent="0.2">
      <c r="A3" s="110" t="s">
        <v>10</v>
      </c>
      <c r="B3" s="111" t="s">
        <v>217</v>
      </c>
      <c r="C3" s="111" t="s">
        <v>324</v>
      </c>
      <c r="D3" s="111" t="s">
        <v>325</v>
      </c>
      <c r="E3" s="41" t="s">
        <v>326</v>
      </c>
      <c r="F3" s="38"/>
    </row>
    <row r="4" spans="1:6" x14ac:dyDescent="0.2">
      <c r="A4" s="40">
        <v>1984</v>
      </c>
      <c r="B4" s="38">
        <v>304</v>
      </c>
      <c r="C4" s="38">
        <v>158</v>
      </c>
      <c r="D4" s="38">
        <v>28</v>
      </c>
      <c r="E4" s="38"/>
      <c r="F4" s="38"/>
    </row>
    <row r="5" spans="1:6" x14ac:dyDescent="0.2">
      <c r="A5" s="40">
        <v>1985</v>
      </c>
      <c r="B5" s="38">
        <v>232</v>
      </c>
      <c r="C5" s="38">
        <v>184</v>
      </c>
      <c r="D5" s="38"/>
      <c r="E5" s="38"/>
      <c r="F5" s="38"/>
    </row>
    <row r="6" spans="1:6" x14ac:dyDescent="0.2">
      <c r="A6" s="40">
        <v>1986</v>
      </c>
      <c r="B6" s="38">
        <v>556</v>
      </c>
      <c r="C6" s="38">
        <v>358</v>
      </c>
      <c r="D6" s="38">
        <v>142</v>
      </c>
      <c r="E6" s="38"/>
      <c r="F6" s="38"/>
    </row>
    <row r="7" spans="1:6" x14ac:dyDescent="0.2">
      <c r="A7" s="40">
        <v>1987</v>
      </c>
      <c r="B7" s="38">
        <v>624</v>
      </c>
      <c r="C7" s="38">
        <v>395</v>
      </c>
      <c r="D7" s="38">
        <v>85</v>
      </c>
      <c r="E7" s="38"/>
      <c r="F7" s="38"/>
    </row>
    <row r="8" spans="1:6" x14ac:dyDescent="0.2">
      <c r="A8" s="40">
        <v>1988</v>
      </c>
      <c r="B8" s="38">
        <v>437</v>
      </c>
      <c r="C8" s="38">
        <v>169</v>
      </c>
      <c r="D8" s="38">
        <v>54</v>
      </c>
      <c r="E8" s="38"/>
      <c r="F8" s="38"/>
    </row>
    <row r="9" spans="1:6" x14ac:dyDescent="0.2">
      <c r="A9" s="40">
        <v>1989</v>
      </c>
      <c r="B9" s="38" t="s">
        <v>218</v>
      </c>
      <c r="C9" s="38">
        <v>158</v>
      </c>
      <c r="D9" s="38">
        <v>34</v>
      </c>
      <c r="E9" s="38"/>
      <c r="F9" s="38"/>
    </row>
    <row r="10" spans="1:6" x14ac:dyDescent="0.2">
      <c r="A10" s="40">
        <v>1990</v>
      </c>
      <c r="B10" s="38" t="s">
        <v>218</v>
      </c>
      <c r="C10" s="38">
        <v>325</v>
      </c>
      <c r="D10" s="38">
        <v>32</v>
      </c>
      <c r="E10" s="38"/>
      <c r="F10" s="38"/>
    </row>
    <row r="11" spans="1:6" x14ac:dyDescent="0.2">
      <c r="A11" s="40">
        <v>1991</v>
      </c>
      <c r="B11" s="38">
        <v>121</v>
      </c>
      <c r="C11" s="38">
        <v>86</v>
      </c>
      <c r="D11" s="38">
        <v>63</v>
      </c>
      <c r="E11" s="38"/>
      <c r="F11" s="38"/>
    </row>
    <row r="12" spans="1:6" x14ac:dyDescent="0.2">
      <c r="A12" s="40">
        <v>1992</v>
      </c>
      <c r="B12" s="38">
        <v>86</v>
      </c>
      <c r="C12" s="38">
        <v>77</v>
      </c>
      <c r="D12" s="38">
        <v>16</v>
      </c>
      <c r="E12" s="38"/>
      <c r="F12" s="38"/>
    </row>
    <row r="13" spans="1:6" x14ac:dyDescent="0.2">
      <c r="A13" s="40">
        <v>1993</v>
      </c>
      <c r="B13" s="38">
        <v>326</v>
      </c>
      <c r="C13" s="38">
        <v>351</v>
      </c>
      <c r="D13" s="38">
        <v>50</v>
      </c>
      <c r="E13" s="38"/>
      <c r="F13" s="38"/>
    </row>
    <row r="14" spans="1:6" x14ac:dyDescent="0.2">
      <c r="A14" s="40">
        <v>1994</v>
      </c>
      <c r="B14" s="38">
        <v>349</v>
      </c>
      <c r="C14" s="38">
        <v>342</v>
      </c>
      <c r="D14" s="38">
        <v>67</v>
      </c>
      <c r="E14" s="89"/>
      <c r="F14" s="38"/>
    </row>
    <row r="15" spans="1:6" ht="16" x14ac:dyDescent="0.2">
      <c r="A15" s="40">
        <v>1995</v>
      </c>
      <c r="B15" s="38">
        <v>338</v>
      </c>
      <c r="C15" s="38">
        <v>260</v>
      </c>
      <c r="D15" s="120" t="s">
        <v>219</v>
      </c>
      <c r="E15" s="89"/>
      <c r="F15" s="38"/>
    </row>
    <row r="16" spans="1:6" x14ac:dyDescent="0.2">
      <c r="A16" s="40">
        <v>1996</v>
      </c>
      <c r="B16" s="38">
        <v>132</v>
      </c>
      <c r="C16" s="38">
        <v>230</v>
      </c>
      <c r="D16" s="38">
        <v>12</v>
      </c>
      <c r="E16" s="38"/>
      <c r="F16" s="38"/>
    </row>
    <row r="17" spans="1:6" x14ac:dyDescent="0.2">
      <c r="A17" s="40">
        <v>1997</v>
      </c>
      <c r="B17" s="38">
        <v>109</v>
      </c>
      <c r="C17" s="38">
        <v>190</v>
      </c>
      <c r="D17" s="38"/>
      <c r="E17" s="38"/>
      <c r="F17" s="38"/>
    </row>
    <row r="18" spans="1:6" x14ac:dyDescent="0.2">
      <c r="A18" s="40">
        <v>1998</v>
      </c>
      <c r="B18" s="38">
        <v>71</v>
      </c>
      <c r="C18" s="38">
        <v>136</v>
      </c>
      <c r="D18" s="38">
        <v>39</v>
      </c>
      <c r="E18" s="38"/>
      <c r="F18" s="38"/>
    </row>
    <row r="19" spans="1:6" x14ac:dyDescent="0.2">
      <c r="A19" s="40">
        <v>1999</v>
      </c>
      <c r="B19" s="38">
        <v>371</v>
      </c>
      <c r="C19" s="38">
        <v>194</v>
      </c>
      <c r="D19" s="38">
        <v>51</v>
      </c>
      <c r="E19" s="38"/>
      <c r="F19" s="38"/>
    </row>
    <row r="20" spans="1:6" x14ac:dyDescent="0.2">
      <c r="A20" s="40">
        <v>2000</v>
      </c>
      <c r="B20" s="38">
        <v>163</v>
      </c>
      <c r="C20" s="38">
        <v>152</v>
      </c>
      <c r="D20" s="38">
        <v>33</v>
      </c>
      <c r="E20" s="38"/>
      <c r="F20" s="38"/>
    </row>
    <row r="21" spans="1:6" x14ac:dyDescent="0.2">
      <c r="A21" s="40">
        <v>2001</v>
      </c>
      <c r="B21" s="38">
        <v>543</v>
      </c>
      <c r="C21" s="38">
        <v>287</v>
      </c>
      <c r="D21" s="38">
        <v>21</v>
      </c>
      <c r="E21" s="38"/>
      <c r="F21" s="38"/>
    </row>
    <row r="22" spans="1:6" x14ac:dyDescent="0.2">
      <c r="A22" s="40">
        <v>2002</v>
      </c>
      <c r="B22" s="38">
        <v>351</v>
      </c>
      <c r="C22" s="38">
        <v>220</v>
      </c>
      <c r="D22" s="38">
        <v>86</v>
      </c>
      <c r="E22" s="38"/>
      <c r="F22" s="38"/>
    </row>
    <row r="23" spans="1:6" x14ac:dyDescent="0.2">
      <c r="A23" s="40">
        <v>2003</v>
      </c>
      <c r="B23" s="38">
        <v>127</v>
      </c>
      <c r="C23" s="38">
        <v>105</v>
      </c>
      <c r="D23" s="38">
        <v>10</v>
      </c>
      <c r="E23" s="38"/>
      <c r="F23" s="38"/>
    </row>
    <row r="24" spans="1:6" x14ac:dyDescent="0.2">
      <c r="A24" s="40">
        <v>2004</v>
      </c>
      <c r="B24" s="38">
        <v>84</v>
      </c>
      <c r="C24" s="38">
        <v>46</v>
      </c>
      <c r="D24" s="38" t="s">
        <v>218</v>
      </c>
      <c r="E24" s="38"/>
      <c r="F24" s="38"/>
    </row>
    <row r="25" spans="1:6" x14ac:dyDescent="0.2">
      <c r="A25" s="40">
        <v>2005</v>
      </c>
      <c r="B25" s="38">
        <v>112</v>
      </c>
      <c r="C25" s="38">
        <v>47</v>
      </c>
      <c r="D25" s="38">
        <v>7</v>
      </c>
      <c r="E25" s="38"/>
      <c r="F25" s="38"/>
    </row>
    <row r="26" spans="1:6" x14ac:dyDescent="0.2">
      <c r="A26" s="40">
        <v>2006</v>
      </c>
      <c r="B26" s="38">
        <v>98</v>
      </c>
      <c r="C26" s="38">
        <v>28</v>
      </c>
      <c r="D26" s="38">
        <v>9</v>
      </c>
      <c r="E26" s="38"/>
      <c r="F26" s="38"/>
    </row>
    <row r="27" spans="1:6" x14ac:dyDescent="0.2">
      <c r="A27" s="40">
        <v>2007</v>
      </c>
      <c r="B27" s="38">
        <v>39</v>
      </c>
      <c r="C27" s="38">
        <v>32</v>
      </c>
      <c r="D27" s="38">
        <v>45</v>
      </c>
      <c r="E27" s="38"/>
      <c r="F27" s="38"/>
    </row>
    <row r="28" spans="1:6" x14ac:dyDescent="0.2">
      <c r="A28" s="40">
        <v>2008</v>
      </c>
      <c r="B28" s="38">
        <v>65</v>
      </c>
      <c r="C28" s="38">
        <v>41</v>
      </c>
      <c r="D28" s="38">
        <v>11</v>
      </c>
      <c r="E28" s="38"/>
      <c r="F28" s="38"/>
    </row>
    <row r="29" spans="1:6" x14ac:dyDescent="0.2">
      <c r="A29" s="40">
        <v>2009</v>
      </c>
      <c r="B29" s="40" t="s">
        <v>220</v>
      </c>
      <c r="C29" s="38"/>
      <c r="D29" s="38"/>
      <c r="E29" s="38"/>
      <c r="F29" s="38"/>
    </row>
    <row r="30" spans="1:6" x14ac:dyDescent="0.2">
      <c r="A30" s="40">
        <v>2010</v>
      </c>
      <c r="B30" s="40" t="s">
        <v>220</v>
      </c>
      <c r="C30" s="38"/>
      <c r="D30" s="38"/>
      <c r="E30" s="38"/>
      <c r="F30" s="38"/>
    </row>
    <row r="31" spans="1:6" x14ac:dyDescent="0.2">
      <c r="A31" s="40">
        <v>2011</v>
      </c>
      <c r="B31" s="40" t="s">
        <v>220</v>
      </c>
      <c r="C31" s="38"/>
      <c r="D31" s="38"/>
      <c r="E31" s="38"/>
      <c r="F31" s="38"/>
    </row>
    <row r="32" spans="1:6" x14ac:dyDescent="0.2">
      <c r="A32" s="40">
        <v>2012</v>
      </c>
      <c r="B32" s="40" t="s">
        <v>220</v>
      </c>
      <c r="C32" s="38"/>
      <c r="D32" s="38"/>
      <c r="E32" s="38"/>
      <c r="F32" s="38"/>
    </row>
    <row r="33" spans="1:6" x14ac:dyDescent="0.2">
      <c r="A33" s="40">
        <v>2013</v>
      </c>
      <c r="B33" s="40" t="s">
        <v>220</v>
      </c>
      <c r="C33" s="38"/>
      <c r="D33" s="38"/>
      <c r="E33" s="38"/>
      <c r="F33" s="38"/>
    </row>
    <row r="34" spans="1:6" x14ac:dyDescent="0.2">
      <c r="A34" s="40">
        <v>2014</v>
      </c>
      <c r="B34" s="40" t="s">
        <v>220</v>
      </c>
      <c r="C34" s="38"/>
      <c r="D34" s="38"/>
      <c r="E34" s="38"/>
      <c r="F34" s="38"/>
    </row>
    <row r="35" spans="1:6" x14ac:dyDescent="0.2">
      <c r="A35" s="40">
        <v>2015</v>
      </c>
      <c r="B35" s="40" t="s">
        <v>220</v>
      </c>
      <c r="C35" s="38"/>
      <c r="D35" s="38"/>
      <c r="E35" s="38"/>
      <c r="F35" s="38"/>
    </row>
    <row r="36" spans="1:6" x14ac:dyDescent="0.2">
      <c r="A36" s="40">
        <v>2016</v>
      </c>
      <c r="B36" s="40" t="s">
        <v>220</v>
      </c>
      <c r="C36" s="38"/>
      <c r="D36" s="38"/>
      <c r="E36" s="38"/>
      <c r="F36" s="38"/>
    </row>
    <row r="37" spans="1:6" x14ac:dyDescent="0.2">
      <c r="A37" s="40">
        <v>2017</v>
      </c>
      <c r="B37" s="40" t="s">
        <v>220</v>
      </c>
      <c r="C37" s="38"/>
      <c r="D37" s="38"/>
      <c r="E37" s="38"/>
      <c r="F37" s="38"/>
    </row>
    <row r="38" spans="1:6" x14ac:dyDescent="0.2">
      <c r="A38" s="40">
        <v>2018</v>
      </c>
      <c r="B38" s="40" t="s">
        <v>218</v>
      </c>
      <c r="C38" s="38">
        <v>127</v>
      </c>
      <c r="D38" s="38" t="s">
        <v>218</v>
      </c>
      <c r="E38" s="38"/>
      <c r="F38" s="38"/>
    </row>
    <row r="39" spans="1:6" x14ac:dyDescent="0.2">
      <c r="A39" s="40">
        <v>2019</v>
      </c>
      <c r="B39" s="40" t="s">
        <v>218</v>
      </c>
      <c r="C39" s="38">
        <v>150</v>
      </c>
      <c r="D39" s="38" t="s">
        <v>218</v>
      </c>
      <c r="E39" s="39">
        <v>1408</v>
      </c>
      <c r="F39" s="38"/>
    </row>
    <row r="40" spans="1:6" x14ac:dyDescent="0.2">
      <c r="A40" s="40">
        <v>2020</v>
      </c>
      <c r="B40" s="40" t="s">
        <v>218</v>
      </c>
      <c r="C40" s="38">
        <v>150</v>
      </c>
      <c r="D40" s="38" t="s">
        <v>218</v>
      </c>
      <c r="E40" s="38" t="s">
        <v>58</v>
      </c>
      <c r="F40" s="38"/>
    </row>
    <row r="41" spans="1:6" x14ac:dyDescent="0.2">
      <c r="A41" s="40">
        <v>2021</v>
      </c>
      <c r="B41" s="40" t="s">
        <v>218</v>
      </c>
      <c r="C41" s="38">
        <v>189</v>
      </c>
      <c r="D41" s="38" t="s">
        <v>218</v>
      </c>
      <c r="E41" s="38">
        <v>792</v>
      </c>
      <c r="F41" s="38"/>
    </row>
    <row r="42" spans="1:6" x14ac:dyDescent="0.2">
      <c r="A42" s="40">
        <v>2022</v>
      </c>
      <c r="B42" s="40" t="s">
        <v>218</v>
      </c>
      <c r="C42" s="38">
        <v>200</v>
      </c>
      <c r="D42" s="38" t="s">
        <v>218</v>
      </c>
      <c r="E42" s="38">
        <v>739</v>
      </c>
      <c r="F42" s="38"/>
    </row>
    <row r="43" spans="1:6" x14ac:dyDescent="0.2">
      <c r="A43" s="40">
        <v>2023</v>
      </c>
      <c r="B43" s="40" t="s">
        <v>218</v>
      </c>
      <c r="C43" s="38">
        <v>131</v>
      </c>
      <c r="D43" s="38" t="s">
        <v>218</v>
      </c>
      <c r="E43" s="38" t="s">
        <v>327</v>
      </c>
      <c r="F43" s="38"/>
    </row>
    <row r="44" spans="1:6" x14ac:dyDescent="0.2">
      <c r="A44" s="102">
        <v>2024</v>
      </c>
      <c r="B44" s="121" t="s">
        <v>218</v>
      </c>
      <c r="C44" s="41">
        <v>150</v>
      </c>
      <c r="D44" s="122" t="s">
        <v>218</v>
      </c>
      <c r="E44" s="41" t="s">
        <v>327</v>
      </c>
      <c r="F44" s="38"/>
    </row>
    <row r="45" spans="1:6" ht="16" x14ac:dyDescent="0.2">
      <c r="A45" s="123" t="s">
        <v>328</v>
      </c>
      <c r="B45" s="38"/>
      <c r="C45" s="38"/>
      <c r="D45" s="38"/>
      <c r="E45" s="38"/>
      <c r="F45" s="38"/>
    </row>
  </sheetData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8"/>
  <sheetViews>
    <sheetView topLeftCell="A28" workbookViewId="0">
      <selection activeCell="C58" sqref="C58"/>
    </sheetView>
  </sheetViews>
  <sheetFormatPr baseColWidth="10" defaultColWidth="8.83203125" defaultRowHeight="15" x14ac:dyDescent="0.2"/>
  <cols>
    <col min="2" max="2" width="16.1640625" customWidth="1"/>
    <col min="3" max="3" width="15.5" customWidth="1"/>
    <col min="6" max="6" width="11.6640625" customWidth="1"/>
  </cols>
  <sheetData>
    <row r="1" spans="1:8" x14ac:dyDescent="0.2">
      <c r="A1" s="110" t="s">
        <v>221</v>
      </c>
      <c r="B1" s="110"/>
      <c r="C1" s="110"/>
      <c r="D1" s="110"/>
      <c r="E1" s="41"/>
      <c r="F1" s="41"/>
      <c r="G1" s="41"/>
      <c r="H1" s="38"/>
    </row>
    <row r="2" spans="1:8" x14ac:dyDescent="0.2">
      <c r="A2" s="124" t="s">
        <v>329</v>
      </c>
      <c r="B2" s="124"/>
      <c r="C2" s="124"/>
      <c r="D2" s="124"/>
      <c r="E2" s="125"/>
      <c r="F2" s="125"/>
      <c r="G2" s="125"/>
      <c r="H2" s="38"/>
    </row>
    <row r="3" spans="1:8" x14ac:dyDescent="0.2">
      <c r="A3" s="102" t="s">
        <v>330</v>
      </c>
      <c r="B3" s="102"/>
      <c r="C3" s="102"/>
      <c r="D3" s="102"/>
      <c r="E3" s="41"/>
      <c r="F3" s="41"/>
      <c r="G3" s="41"/>
      <c r="H3" s="38"/>
    </row>
    <row r="4" spans="1:8" ht="17" x14ac:dyDescent="0.3">
      <c r="A4" s="40"/>
      <c r="B4" s="89"/>
      <c r="C4" s="89"/>
      <c r="D4" s="38" t="s">
        <v>86</v>
      </c>
      <c r="E4" s="193" t="s">
        <v>64</v>
      </c>
      <c r="F4" s="193"/>
      <c r="G4" s="89"/>
      <c r="H4" s="38"/>
    </row>
    <row r="5" spans="1:8" x14ac:dyDescent="0.2">
      <c r="A5" s="110" t="s">
        <v>10</v>
      </c>
      <c r="B5" s="104" t="s">
        <v>264</v>
      </c>
      <c r="C5" s="41" t="s">
        <v>265</v>
      </c>
      <c r="D5" s="111" t="s">
        <v>212</v>
      </c>
      <c r="E5" s="41" t="s">
        <v>213</v>
      </c>
      <c r="F5" s="41" t="s">
        <v>214</v>
      </c>
      <c r="G5" s="111" t="s">
        <v>13</v>
      </c>
      <c r="H5" s="38"/>
    </row>
    <row r="6" spans="1:8" x14ac:dyDescent="0.2">
      <c r="A6" s="40">
        <v>1976</v>
      </c>
      <c r="B6" s="38">
        <v>181</v>
      </c>
      <c r="C6" s="39">
        <v>11510</v>
      </c>
      <c r="D6" s="39">
        <v>11691</v>
      </c>
      <c r="E6" s="38"/>
      <c r="F6" s="113">
        <v>3750</v>
      </c>
      <c r="G6" s="39">
        <v>7941</v>
      </c>
      <c r="H6" s="38"/>
    </row>
    <row r="7" spans="1:8" x14ac:dyDescent="0.2">
      <c r="A7" s="40">
        <v>1977</v>
      </c>
      <c r="B7" s="39">
        <v>8931</v>
      </c>
      <c r="C7" s="39">
        <v>17860</v>
      </c>
      <c r="D7" s="39">
        <v>26791</v>
      </c>
      <c r="E7" s="38"/>
      <c r="F7" s="113">
        <v>11350</v>
      </c>
      <c r="G7" s="39">
        <v>15441</v>
      </c>
      <c r="H7" s="38"/>
    </row>
    <row r="8" spans="1:8" x14ac:dyDescent="0.2">
      <c r="A8" s="40">
        <v>1978</v>
      </c>
      <c r="B8" s="39">
        <v>2508</v>
      </c>
      <c r="C8" s="39">
        <v>24359</v>
      </c>
      <c r="D8" s="39">
        <v>26867</v>
      </c>
      <c r="E8" s="38"/>
      <c r="F8" s="113">
        <v>7850</v>
      </c>
      <c r="G8" s="39">
        <v>19017</v>
      </c>
      <c r="H8" s="38"/>
    </row>
    <row r="9" spans="1:8" x14ac:dyDescent="0.2">
      <c r="A9" s="40">
        <v>1979</v>
      </c>
      <c r="B9" s="38">
        <v>977</v>
      </c>
      <c r="C9" s="39">
        <v>11334</v>
      </c>
      <c r="D9" s="39">
        <v>12311</v>
      </c>
      <c r="E9" s="38"/>
      <c r="F9" s="113">
        <v>5260</v>
      </c>
      <c r="G9" s="39">
        <v>7051</v>
      </c>
      <c r="H9" s="38"/>
    </row>
    <row r="10" spans="1:8" x14ac:dyDescent="0.2">
      <c r="A10" s="40">
        <v>1980</v>
      </c>
      <c r="B10" s="39">
        <v>1008</v>
      </c>
      <c r="C10" s="39">
        <v>10742</v>
      </c>
      <c r="D10" s="39">
        <v>11750</v>
      </c>
      <c r="E10" s="38"/>
      <c r="F10" s="112">
        <v>900</v>
      </c>
      <c r="G10" s="39">
        <v>10850</v>
      </c>
      <c r="H10" s="38"/>
    </row>
    <row r="11" spans="1:8" x14ac:dyDescent="0.2">
      <c r="A11" s="40">
        <v>1981</v>
      </c>
      <c r="B11" s="38">
        <v>997</v>
      </c>
      <c r="C11" s="39">
        <v>19351</v>
      </c>
      <c r="D11" s="39">
        <v>20348</v>
      </c>
      <c r="E11" s="38"/>
      <c r="F11" s="113">
        <v>1900</v>
      </c>
      <c r="G11" s="39">
        <v>18448</v>
      </c>
      <c r="H11" s="38"/>
    </row>
    <row r="12" spans="1:8" x14ac:dyDescent="0.2">
      <c r="A12" s="40">
        <v>1982</v>
      </c>
      <c r="B12" s="39">
        <v>7758</v>
      </c>
      <c r="C12" s="39">
        <v>25941</v>
      </c>
      <c r="D12" s="39">
        <v>33699</v>
      </c>
      <c r="E12" s="38"/>
      <c r="F12" s="113">
        <v>4800</v>
      </c>
      <c r="G12" s="39">
        <v>28899</v>
      </c>
      <c r="H12" s="38"/>
    </row>
    <row r="13" spans="1:8" x14ac:dyDescent="0.2">
      <c r="A13" s="40">
        <v>1983</v>
      </c>
      <c r="B13" s="39">
        <v>6047</v>
      </c>
      <c r="C13" s="39">
        <v>14445</v>
      </c>
      <c r="D13" s="39">
        <v>20492</v>
      </c>
      <c r="E13" s="38"/>
      <c r="F13" s="113">
        <v>2475</v>
      </c>
      <c r="G13" s="39">
        <v>18017</v>
      </c>
      <c r="H13" s="38"/>
    </row>
    <row r="14" spans="1:8" x14ac:dyDescent="0.2">
      <c r="A14" s="40">
        <v>1984</v>
      </c>
      <c r="B14" s="39">
        <v>2769</v>
      </c>
      <c r="C14" s="39">
        <v>9958</v>
      </c>
      <c r="D14" s="39">
        <v>12727</v>
      </c>
      <c r="E14" s="38"/>
      <c r="F14" s="113">
        <v>2500</v>
      </c>
      <c r="G14" s="39">
        <v>10227</v>
      </c>
      <c r="H14" s="38"/>
    </row>
    <row r="15" spans="1:8" x14ac:dyDescent="0.2">
      <c r="A15" s="40">
        <v>1985</v>
      </c>
      <c r="B15" s="38">
        <v>539</v>
      </c>
      <c r="C15" s="39">
        <v>18081</v>
      </c>
      <c r="D15" s="39">
        <v>18620</v>
      </c>
      <c r="E15" s="38"/>
      <c r="F15" s="113">
        <v>1361</v>
      </c>
      <c r="G15" s="39">
        <v>17259</v>
      </c>
      <c r="H15" s="38"/>
    </row>
    <row r="16" spans="1:8" x14ac:dyDescent="0.2">
      <c r="A16" s="40">
        <v>1986</v>
      </c>
      <c r="B16" s="38">
        <v>416</v>
      </c>
      <c r="C16" s="39">
        <v>24434</v>
      </c>
      <c r="D16" s="39">
        <v>24850</v>
      </c>
      <c r="E16" s="38"/>
      <c r="F16" s="113">
        <v>1914</v>
      </c>
      <c r="G16" s="39">
        <v>22936</v>
      </c>
      <c r="H16" s="38"/>
    </row>
    <row r="17" spans="1:8" x14ac:dyDescent="0.2">
      <c r="A17" s="40">
        <v>1987</v>
      </c>
      <c r="B17" s="39">
        <v>3269</v>
      </c>
      <c r="C17" s="39">
        <v>7235</v>
      </c>
      <c r="D17" s="39">
        <v>10504</v>
      </c>
      <c r="E17" s="38"/>
      <c r="F17" s="113">
        <v>1158</v>
      </c>
      <c r="G17" s="39">
        <v>9346</v>
      </c>
      <c r="H17" s="38"/>
    </row>
    <row r="18" spans="1:8" x14ac:dyDescent="0.2">
      <c r="A18" s="40">
        <v>1988</v>
      </c>
      <c r="B18" s="38">
        <v>585</v>
      </c>
      <c r="C18" s="39">
        <v>8756</v>
      </c>
      <c r="D18" s="39">
        <v>9341</v>
      </c>
      <c r="E18" s="38"/>
      <c r="F18" s="113">
        <v>1604</v>
      </c>
      <c r="G18" s="39">
        <v>7737</v>
      </c>
      <c r="H18" s="38"/>
    </row>
    <row r="19" spans="1:8" x14ac:dyDescent="0.2">
      <c r="A19" s="40">
        <v>1989</v>
      </c>
      <c r="B19" s="39">
        <v>3400</v>
      </c>
      <c r="C19" s="39">
        <v>20142</v>
      </c>
      <c r="D19" s="39">
        <v>23542</v>
      </c>
      <c r="E19" s="38"/>
      <c r="F19" s="113">
        <v>1906</v>
      </c>
      <c r="G19" s="39">
        <v>21636</v>
      </c>
      <c r="H19" s="38"/>
    </row>
    <row r="20" spans="1:8" x14ac:dyDescent="0.2">
      <c r="A20" s="40">
        <v>1990</v>
      </c>
      <c r="B20" s="39">
        <v>1316</v>
      </c>
      <c r="C20" s="39">
        <v>24679</v>
      </c>
      <c r="D20" s="39">
        <v>25995</v>
      </c>
      <c r="E20" s="38"/>
      <c r="F20" s="113">
        <v>1388</v>
      </c>
      <c r="G20" s="39">
        <v>24607</v>
      </c>
      <c r="H20" s="38"/>
    </row>
    <row r="21" spans="1:8" x14ac:dyDescent="0.2">
      <c r="A21" s="40">
        <v>1991</v>
      </c>
      <c r="B21" s="39">
        <v>1924</v>
      </c>
      <c r="C21" s="39">
        <v>17053</v>
      </c>
      <c r="D21" s="39">
        <v>18977</v>
      </c>
      <c r="E21" s="38"/>
      <c r="F21" s="113">
        <v>1332</v>
      </c>
      <c r="G21" s="39">
        <v>17645</v>
      </c>
      <c r="H21" s="38"/>
    </row>
    <row r="22" spans="1:8" x14ac:dyDescent="0.2">
      <c r="A22" s="40">
        <v>1992</v>
      </c>
      <c r="B22" s="39">
        <v>11339</v>
      </c>
      <c r="C22" s="39">
        <v>8428</v>
      </c>
      <c r="D22" s="39">
        <v>19767</v>
      </c>
      <c r="E22" s="38"/>
      <c r="F22" s="113">
        <v>1498</v>
      </c>
      <c r="G22" s="39">
        <v>18269</v>
      </c>
      <c r="H22" s="38"/>
    </row>
    <row r="23" spans="1:8" x14ac:dyDescent="0.2">
      <c r="A23" s="40">
        <v>1993</v>
      </c>
      <c r="B23" s="39">
        <v>5369</v>
      </c>
      <c r="C23" s="39">
        <v>11371</v>
      </c>
      <c r="D23" s="39">
        <v>16740</v>
      </c>
      <c r="E23" s="38"/>
      <c r="F23" s="113">
        <v>1819</v>
      </c>
      <c r="G23" s="39">
        <v>14921</v>
      </c>
      <c r="H23" s="38"/>
    </row>
    <row r="24" spans="1:8" x14ac:dyDescent="0.2">
      <c r="A24" s="40">
        <v>1994</v>
      </c>
      <c r="B24" s="39">
        <v>3247</v>
      </c>
      <c r="C24" s="39">
        <v>11791</v>
      </c>
      <c r="D24" s="39">
        <v>15038</v>
      </c>
      <c r="E24" s="89"/>
      <c r="F24" s="113">
        <v>1146</v>
      </c>
      <c r="G24" s="39">
        <v>13892</v>
      </c>
      <c r="H24" s="38"/>
    </row>
    <row r="25" spans="1:8" x14ac:dyDescent="0.2">
      <c r="A25" s="40">
        <v>1995</v>
      </c>
      <c r="B25" s="39">
        <v>2289</v>
      </c>
      <c r="C25" s="39">
        <v>18407</v>
      </c>
      <c r="D25" s="39">
        <v>20696</v>
      </c>
      <c r="E25" s="89"/>
      <c r="F25" s="112">
        <v>879</v>
      </c>
      <c r="G25" s="39">
        <v>19817</v>
      </c>
      <c r="H25" s="38"/>
    </row>
    <row r="26" spans="1:8" x14ac:dyDescent="0.2">
      <c r="A26" s="40">
        <v>1996</v>
      </c>
      <c r="B26" s="39">
        <v>1502</v>
      </c>
      <c r="C26" s="39">
        <v>6818</v>
      </c>
      <c r="D26" s="39">
        <v>8320</v>
      </c>
      <c r="E26" s="89"/>
      <c r="F26" s="112">
        <v>429</v>
      </c>
      <c r="G26" s="39">
        <v>7891</v>
      </c>
      <c r="H26" s="38"/>
    </row>
    <row r="27" spans="1:8" x14ac:dyDescent="0.2">
      <c r="A27" s="40">
        <v>1997</v>
      </c>
      <c r="B27" s="39">
        <v>6565</v>
      </c>
      <c r="C27" s="39">
        <v>4931</v>
      </c>
      <c r="D27" s="39">
        <v>11496</v>
      </c>
      <c r="E27" s="89"/>
      <c r="F27" s="112">
        <v>193</v>
      </c>
      <c r="G27" s="39">
        <v>11303</v>
      </c>
      <c r="H27" s="38"/>
    </row>
    <row r="28" spans="1:8" x14ac:dyDescent="0.2">
      <c r="A28" s="40">
        <v>1998</v>
      </c>
      <c r="B28" s="38">
        <v>597</v>
      </c>
      <c r="C28" s="39">
        <v>12994</v>
      </c>
      <c r="D28" s="39">
        <v>13591</v>
      </c>
      <c r="E28" s="89"/>
      <c r="F28" s="112">
        <v>11</v>
      </c>
      <c r="G28" s="39">
        <v>13580</v>
      </c>
      <c r="H28" s="38"/>
    </row>
    <row r="29" spans="1:8" x14ac:dyDescent="0.2">
      <c r="A29" s="40">
        <v>1999</v>
      </c>
      <c r="B29" s="38">
        <v>371</v>
      </c>
      <c r="C29" s="39">
        <v>5010</v>
      </c>
      <c r="D29" s="39">
        <v>5381</v>
      </c>
      <c r="E29" s="89"/>
      <c r="F29" s="112">
        <v>280</v>
      </c>
      <c r="G29" s="39">
        <v>5101</v>
      </c>
      <c r="H29" s="38"/>
    </row>
    <row r="30" spans="1:8" x14ac:dyDescent="0.2">
      <c r="A30" s="40">
        <v>2000</v>
      </c>
      <c r="B30" s="38">
        <v>237</v>
      </c>
      <c r="C30" s="39">
        <v>5314</v>
      </c>
      <c r="D30" s="39">
        <v>5551</v>
      </c>
      <c r="E30" s="89"/>
      <c r="F30" s="112">
        <v>129</v>
      </c>
      <c r="G30" s="39">
        <v>5422</v>
      </c>
      <c r="H30" s="38"/>
    </row>
    <row r="31" spans="1:8" x14ac:dyDescent="0.2">
      <c r="A31" s="40">
        <v>2001</v>
      </c>
      <c r="B31" s="38">
        <v>908</v>
      </c>
      <c r="C31" s="39">
        <v>9382</v>
      </c>
      <c r="D31" s="39">
        <v>10290</v>
      </c>
      <c r="E31" s="89"/>
      <c r="F31" s="112">
        <v>961</v>
      </c>
      <c r="G31" s="39">
        <v>9329</v>
      </c>
      <c r="H31" s="38"/>
    </row>
    <row r="32" spans="1:8" x14ac:dyDescent="0.2">
      <c r="A32" s="40">
        <v>2002</v>
      </c>
      <c r="B32" s="39">
        <v>11904</v>
      </c>
      <c r="C32" s="39">
        <v>13807</v>
      </c>
      <c r="D32" s="39">
        <v>25711</v>
      </c>
      <c r="E32" s="89"/>
      <c r="F32" s="113">
        <v>2124</v>
      </c>
      <c r="G32" s="39">
        <v>23587</v>
      </c>
      <c r="H32" s="38"/>
    </row>
    <row r="33" spans="1:8" x14ac:dyDescent="0.2">
      <c r="A33" s="40">
        <v>2003</v>
      </c>
      <c r="B33" s="39">
        <v>3084</v>
      </c>
      <c r="C33" s="39">
        <v>31278</v>
      </c>
      <c r="D33" s="39">
        <v>34362</v>
      </c>
      <c r="E33" s="89"/>
      <c r="F33" s="113">
        <v>2242</v>
      </c>
      <c r="G33" s="39">
        <v>32120</v>
      </c>
      <c r="H33" s="38"/>
    </row>
    <row r="34" spans="1:8" x14ac:dyDescent="0.2">
      <c r="A34" s="40">
        <v>2004</v>
      </c>
      <c r="B34" s="39">
        <v>3464</v>
      </c>
      <c r="C34" s="39">
        <v>11884</v>
      </c>
      <c r="D34" s="39">
        <v>15348</v>
      </c>
      <c r="E34" s="89"/>
      <c r="F34" s="113">
        <v>1627</v>
      </c>
      <c r="G34" s="39">
        <v>13721</v>
      </c>
      <c r="H34" s="38"/>
    </row>
    <row r="35" spans="1:8" x14ac:dyDescent="0.2">
      <c r="A35" s="40">
        <v>2005</v>
      </c>
      <c r="B35" s="38">
        <v>994</v>
      </c>
      <c r="C35" s="39">
        <v>2379</v>
      </c>
      <c r="D35" s="39">
        <v>3373</v>
      </c>
      <c r="E35" s="89"/>
      <c r="F35" s="112">
        <v>206</v>
      </c>
      <c r="G35" s="39">
        <v>3167</v>
      </c>
      <c r="H35" s="38"/>
    </row>
    <row r="36" spans="1:8" x14ac:dyDescent="0.2">
      <c r="A36" s="40">
        <v>2006</v>
      </c>
      <c r="B36" s="38">
        <v>247</v>
      </c>
      <c r="C36" s="39">
        <v>13208</v>
      </c>
      <c r="D36" s="39">
        <v>13455</v>
      </c>
      <c r="E36" s="89"/>
      <c r="F36" s="112">
        <v>565</v>
      </c>
      <c r="G36" s="39">
        <v>12890</v>
      </c>
      <c r="H36" s="38"/>
    </row>
    <row r="37" spans="1:8" x14ac:dyDescent="0.2">
      <c r="A37" s="40">
        <v>2007</v>
      </c>
      <c r="B37" s="39">
        <v>2725</v>
      </c>
      <c r="C37" s="39">
        <v>6231</v>
      </c>
      <c r="D37" s="39">
        <v>8956</v>
      </c>
      <c r="E37" s="89"/>
      <c r="F37" s="112">
        <v>646</v>
      </c>
      <c r="G37" s="39">
        <v>8310</v>
      </c>
      <c r="H37" s="38"/>
    </row>
    <row r="38" spans="1:8" x14ac:dyDescent="0.2">
      <c r="A38" s="40">
        <v>2008</v>
      </c>
      <c r="B38" s="38">
        <v>43</v>
      </c>
      <c r="C38" s="39">
        <v>2698</v>
      </c>
      <c r="D38" s="39">
        <v>2741</v>
      </c>
      <c r="E38" s="89"/>
      <c r="F38" s="112">
        <v>0</v>
      </c>
      <c r="G38" s="39">
        <v>2741</v>
      </c>
      <c r="H38" s="38"/>
    </row>
    <row r="39" spans="1:8" x14ac:dyDescent="0.2">
      <c r="A39" s="40">
        <v>2009</v>
      </c>
      <c r="B39" s="39">
        <v>1247</v>
      </c>
      <c r="C39" s="39">
        <v>4484</v>
      </c>
      <c r="D39" s="39">
        <v>5731</v>
      </c>
      <c r="E39" s="126">
        <v>75</v>
      </c>
      <c r="F39" s="38">
        <v>128</v>
      </c>
      <c r="G39" s="113">
        <v>5528</v>
      </c>
      <c r="H39" s="38"/>
    </row>
    <row r="40" spans="1:8" x14ac:dyDescent="0.2">
      <c r="A40" s="40">
        <v>2010</v>
      </c>
      <c r="B40" s="39">
        <v>5073</v>
      </c>
      <c r="C40" s="39">
        <v>13887</v>
      </c>
      <c r="D40" s="39">
        <v>18960</v>
      </c>
      <c r="E40" s="126">
        <v>91</v>
      </c>
      <c r="F40" s="38">
        <v>323</v>
      </c>
      <c r="G40" s="113">
        <v>18546</v>
      </c>
      <c r="H40" s="38"/>
    </row>
    <row r="41" spans="1:8" x14ac:dyDescent="0.2">
      <c r="A41" s="40">
        <v>2011</v>
      </c>
      <c r="B41" s="39">
        <v>5635</v>
      </c>
      <c r="C41" s="39">
        <v>15767</v>
      </c>
      <c r="D41" s="39">
        <v>21402</v>
      </c>
      <c r="E41" s="126">
        <v>262</v>
      </c>
      <c r="F41" s="38">
        <v>358</v>
      </c>
      <c r="G41" s="113">
        <v>20782</v>
      </c>
      <c r="H41" s="38"/>
    </row>
    <row r="42" spans="1:8" x14ac:dyDescent="0.2">
      <c r="A42" s="40">
        <v>2012</v>
      </c>
      <c r="B42" s="39">
        <v>5969</v>
      </c>
      <c r="C42" s="39">
        <v>11725</v>
      </c>
      <c r="D42" s="39">
        <v>17694</v>
      </c>
      <c r="E42" s="126">
        <v>214</v>
      </c>
      <c r="F42" s="38">
        <v>304</v>
      </c>
      <c r="G42" s="113">
        <v>17176</v>
      </c>
      <c r="H42" s="38"/>
    </row>
    <row r="43" spans="1:8" x14ac:dyDescent="0.2">
      <c r="A43" s="40">
        <v>2013</v>
      </c>
      <c r="B43" s="38">
        <v>312</v>
      </c>
      <c r="C43" s="39">
        <v>3581</v>
      </c>
      <c r="D43" s="39">
        <v>3893</v>
      </c>
      <c r="E43" s="126">
        <v>0</v>
      </c>
      <c r="F43" s="38">
        <v>101</v>
      </c>
      <c r="G43" s="113">
        <v>3792</v>
      </c>
      <c r="H43" s="38"/>
    </row>
    <row r="44" spans="1:8" x14ac:dyDescent="0.2">
      <c r="A44" s="40">
        <v>2014</v>
      </c>
      <c r="B44" s="39">
        <v>2732</v>
      </c>
      <c r="C44" s="39">
        <v>9652</v>
      </c>
      <c r="D44" s="39">
        <v>12384</v>
      </c>
      <c r="E44" s="126">
        <v>10</v>
      </c>
      <c r="F44" s="38">
        <v>226</v>
      </c>
      <c r="G44" s="113">
        <v>12148</v>
      </c>
      <c r="H44" s="38"/>
    </row>
    <row r="45" spans="1:8" x14ac:dyDescent="0.2">
      <c r="A45" s="40">
        <v>2015</v>
      </c>
      <c r="B45" s="39">
        <v>2604</v>
      </c>
      <c r="C45" s="39">
        <v>8984</v>
      </c>
      <c r="D45" s="39">
        <v>11588</v>
      </c>
      <c r="E45" s="126">
        <v>10</v>
      </c>
      <c r="F45" s="38">
        <v>215</v>
      </c>
      <c r="G45" s="113">
        <v>11363</v>
      </c>
      <c r="H45" s="38"/>
    </row>
    <row r="46" spans="1:8" x14ac:dyDescent="0.2">
      <c r="A46" s="40">
        <v>2016</v>
      </c>
      <c r="B46" s="39">
        <v>1405</v>
      </c>
      <c r="C46" s="39">
        <v>6179</v>
      </c>
      <c r="D46" s="39">
        <v>7584</v>
      </c>
      <c r="E46" s="126">
        <v>37</v>
      </c>
      <c r="F46" s="38">
        <v>156</v>
      </c>
      <c r="G46" s="113">
        <v>7391</v>
      </c>
      <c r="H46" s="38"/>
    </row>
    <row r="47" spans="1:8" x14ac:dyDescent="0.2">
      <c r="A47" s="40">
        <v>2017</v>
      </c>
      <c r="B47" s="39">
        <v>1087</v>
      </c>
      <c r="C47" s="39">
        <v>2802</v>
      </c>
      <c r="D47" s="39">
        <v>3889</v>
      </c>
      <c r="E47" s="126">
        <v>77</v>
      </c>
      <c r="F47" s="38">
        <v>101</v>
      </c>
      <c r="G47" s="113">
        <v>3711</v>
      </c>
      <c r="H47" s="38"/>
    </row>
    <row r="48" spans="1:8" x14ac:dyDescent="0.2">
      <c r="A48" s="40">
        <v>2018</v>
      </c>
      <c r="B48" s="38">
        <v>97</v>
      </c>
      <c r="C48" s="39">
        <v>7046</v>
      </c>
      <c r="D48" s="39">
        <v>7143</v>
      </c>
      <c r="E48" s="126">
        <v>0</v>
      </c>
      <c r="F48" s="38">
        <v>0</v>
      </c>
      <c r="G48" s="113">
        <v>7143</v>
      </c>
      <c r="H48" s="38"/>
    </row>
    <row r="49" spans="1:8" x14ac:dyDescent="0.2">
      <c r="A49" s="40">
        <v>2019</v>
      </c>
      <c r="B49" s="39">
        <v>4127</v>
      </c>
      <c r="C49" s="39">
        <v>14946</v>
      </c>
      <c r="D49" s="39">
        <v>19073</v>
      </c>
      <c r="E49" s="126">
        <v>0</v>
      </c>
      <c r="F49" s="38">
        <v>324</v>
      </c>
      <c r="G49" s="113">
        <v>18749</v>
      </c>
      <c r="H49" s="38"/>
    </row>
    <row r="50" spans="1:8" x14ac:dyDescent="0.2">
      <c r="A50" s="40">
        <v>2020</v>
      </c>
      <c r="B50" s="38">
        <v>204</v>
      </c>
      <c r="C50" s="39">
        <v>4192</v>
      </c>
      <c r="D50" s="39">
        <v>4396</v>
      </c>
      <c r="E50" s="126">
        <v>0</v>
      </c>
      <c r="F50" s="38">
        <v>109</v>
      </c>
      <c r="G50" s="113">
        <v>4287</v>
      </c>
      <c r="H50" s="38"/>
    </row>
    <row r="51" spans="1:8" x14ac:dyDescent="0.2">
      <c r="A51" s="40">
        <v>2021</v>
      </c>
      <c r="B51" s="39">
        <v>3642</v>
      </c>
      <c r="C51" s="39">
        <v>22805</v>
      </c>
      <c r="D51" s="39">
        <v>26447</v>
      </c>
      <c r="E51" s="126">
        <v>0</v>
      </c>
      <c r="F51" s="38">
        <v>756</v>
      </c>
      <c r="G51" s="113">
        <v>25691</v>
      </c>
      <c r="H51" s="38"/>
    </row>
    <row r="52" spans="1:8" x14ac:dyDescent="0.2">
      <c r="A52" s="40">
        <v>2022</v>
      </c>
      <c r="B52" s="39">
        <v>5995</v>
      </c>
      <c r="C52" s="39">
        <v>24495</v>
      </c>
      <c r="D52" s="39">
        <v>30490</v>
      </c>
      <c r="E52" s="126">
        <v>0</v>
      </c>
      <c r="F52" s="38">
        <v>861</v>
      </c>
      <c r="G52" s="113">
        <v>29629</v>
      </c>
      <c r="H52" s="38"/>
    </row>
    <row r="53" spans="1:8" x14ac:dyDescent="0.2">
      <c r="A53" s="40">
        <v>2023</v>
      </c>
      <c r="B53" s="38">
        <v>315</v>
      </c>
      <c r="C53" s="39">
        <v>13815</v>
      </c>
      <c r="D53" s="39">
        <v>14130</v>
      </c>
      <c r="E53" s="126">
        <v>0</v>
      </c>
      <c r="F53" s="38">
        <v>440</v>
      </c>
      <c r="G53" s="113">
        <v>13690</v>
      </c>
      <c r="H53" s="38"/>
    </row>
    <row r="54" spans="1:8" x14ac:dyDescent="0.2">
      <c r="A54" s="102">
        <v>2024</v>
      </c>
      <c r="B54" s="115">
        <v>454</v>
      </c>
      <c r="C54" s="114">
        <v>9937</v>
      </c>
      <c r="D54" s="114">
        <v>10391</v>
      </c>
      <c r="E54" s="111">
        <v>0</v>
      </c>
      <c r="F54" s="115">
        <v>344</v>
      </c>
      <c r="G54" s="114">
        <v>10047</v>
      </c>
      <c r="H54" s="38"/>
    </row>
    <row r="55" spans="1:8" x14ac:dyDescent="0.2">
      <c r="A55" s="116" t="s">
        <v>24</v>
      </c>
      <c r="B55" s="38"/>
      <c r="C55" s="38"/>
      <c r="D55" s="38"/>
      <c r="E55" s="38"/>
      <c r="F55" s="38"/>
      <c r="G55" s="38"/>
      <c r="H55" s="38"/>
    </row>
    <row r="56" spans="1:8" x14ac:dyDescent="0.2">
      <c r="A56" s="117" t="s">
        <v>322</v>
      </c>
      <c r="B56" s="113">
        <v>2874</v>
      </c>
      <c r="C56" s="113">
        <v>12629</v>
      </c>
      <c r="D56" s="113">
        <v>15503</v>
      </c>
      <c r="E56" s="112"/>
      <c r="F56" s="112"/>
      <c r="G56" s="113">
        <v>14016</v>
      </c>
      <c r="H56" s="38"/>
    </row>
    <row r="57" spans="1:8" x14ac:dyDescent="0.2">
      <c r="A57" s="118" t="s">
        <v>302</v>
      </c>
      <c r="B57" s="114">
        <v>2221</v>
      </c>
      <c r="C57" s="114">
        <v>11492</v>
      </c>
      <c r="D57" s="114">
        <v>13712</v>
      </c>
      <c r="E57" s="115"/>
      <c r="F57" s="115"/>
      <c r="G57" s="114">
        <v>13380</v>
      </c>
      <c r="H57" s="38"/>
    </row>
    <row r="58" spans="1:8" x14ac:dyDescent="0.2">
      <c r="A58" s="116" t="s">
        <v>215</v>
      </c>
      <c r="B58" s="116"/>
      <c r="C58" s="116"/>
      <c r="D58" s="116"/>
      <c r="E58" s="38"/>
      <c r="F58" s="38"/>
      <c r="G58" s="38"/>
      <c r="H58" s="38"/>
    </row>
  </sheetData>
  <mergeCells count="1">
    <mergeCell ref="E4:F4"/>
  </mergeCells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0"/>
  <sheetViews>
    <sheetView topLeftCell="A12" workbookViewId="0">
      <selection activeCell="A51" sqref="A51"/>
    </sheetView>
  </sheetViews>
  <sheetFormatPr baseColWidth="10" defaultColWidth="8.83203125" defaultRowHeight="15" x14ac:dyDescent="0.2"/>
  <cols>
    <col min="6" max="6" width="11.5" customWidth="1"/>
    <col min="7" max="7" width="14.1640625" customWidth="1"/>
    <col min="8" max="8" width="13.33203125" customWidth="1"/>
  </cols>
  <sheetData>
    <row r="1" spans="1:9" x14ac:dyDescent="0.2">
      <c r="A1" s="110" t="s">
        <v>222</v>
      </c>
      <c r="B1" s="110"/>
      <c r="C1" s="110"/>
      <c r="D1" s="110"/>
      <c r="E1" s="41"/>
      <c r="F1" s="41"/>
      <c r="G1" s="41"/>
      <c r="H1" s="41"/>
      <c r="I1" s="38"/>
    </row>
    <row r="2" spans="1:9" x14ac:dyDescent="0.2">
      <c r="A2" s="40" t="s">
        <v>223</v>
      </c>
      <c r="B2" s="38"/>
      <c r="C2" s="38"/>
      <c r="D2" s="38"/>
      <c r="E2" s="38"/>
      <c r="F2" s="38"/>
      <c r="G2" s="38"/>
      <c r="H2" s="38"/>
      <c r="I2" s="38"/>
    </row>
    <row r="3" spans="1:9" x14ac:dyDescent="0.2">
      <c r="A3" s="104" t="s">
        <v>224</v>
      </c>
      <c r="B3" s="41"/>
      <c r="C3" s="41"/>
      <c r="D3" s="41"/>
      <c r="E3" s="41"/>
      <c r="F3" s="41"/>
      <c r="G3" s="41"/>
      <c r="H3" s="41"/>
      <c r="I3" s="38"/>
    </row>
    <row r="4" spans="1:9" ht="17" x14ac:dyDescent="0.3">
      <c r="A4" s="40"/>
      <c r="B4" s="193" t="s">
        <v>225</v>
      </c>
      <c r="C4" s="193"/>
      <c r="D4" s="193"/>
      <c r="E4" s="193"/>
      <c r="F4" s="193" t="s">
        <v>226</v>
      </c>
      <c r="G4" s="193"/>
      <c r="H4" s="109"/>
      <c r="I4" s="38"/>
    </row>
    <row r="5" spans="1:9" x14ac:dyDescent="0.2">
      <c r="A5" s="40"/>
      <c r="B5" s="126" t="s">
        <v>227</v>
      </c>
      <c r="C5" s="126" t="s">
        <v>228</v>
      </c>
      <c r="D5" s="126" t="s">
        <v>229</v>
      </c>
      <c r="E5" s="126" t="s">
        <v>230</v>
      </c>
      <c r="F5" s="126" t="s">
        <v>231</v>
      </c>
      <c r="G5" s="38" t="s">
        <v>232</v>
      </c>
      <c r="H5" s="38" t="s">
        <v>233</v>
      </c>
      <c r="I5" s="38"/>
    </row>
    <row r="6" spans="1:9" x14ac:dyDescent="0.2">
      <c r="A6" s="110" t="s">
        <v>10</v>
      </c>
      <c r="B6" s="111" t="s">
        <v>17</v>
      </c>
      <c r="C6" s="111" t="s">
        <v>17</v>
      </c>
      <c r="D6" s="111" t="s">
        <v>17</v>
      </c>
      <c r="E6" s="111" t="s">
        <v>52</v>
      </c>
      <c r="F6" s="111" t="s">
        <v>52</v>
      </c>
      <c r="G6" s="111" t="s">
        <v>160</v>
      </c>
      <c r="H6" s="111" t="s">
        <v>234</v>
      </c>
      <c r="I6" s="38"/>
    </row>
    <row r="7" spans="1:9" x14ac:dyDescent="0.2">
      <c r="A7" s="40">
        <v>1985</v>
      </c>
      <c r="B7" s="39">
        <v>2600</v>
      </c>
      <c r="C7" s="38"/>
      <c r="D7" s="38"/>
      <c r="E7" s="39">
        <v>2200</v>
      </c>
      <c r="F7" s="38"/>
      <c r="G7" s="38"/>
      <c r="H7" s="38"/>
      <c r="I7" s="38"/>
    </row>
    <row r="8" spans="1:9" x14ac:dyDescent="0.2">
      <c r="A8" s="40">
        <v>1986</v>
      </c>
      <c r="B8" s="38">
        <v>100</v>
      </c>
      <c r="C8" s="38"/>
      <c r="D8" s="38">
        <v>300</v>
      </c>
      <c r="E8" s="39">
        <v>2700</v>
      </c>
      <c r="F8" s="38">
        <v>536</v>
      </c>
      <c r="G8" s="38">
        <v>750</v>
      </c>
      <c r="H8" s="39">
        <v>1490</v>
      </c>
      <c r="I8" s="38"/>
    </row>
    <row r="9" spans="1:9" x14ac:dyDescent="0.2">
      <c r="A9" s="40">
        <v>1987</v>
      </c>
      <c r="B9" s="38">
        <v>350</v>
      </c>
      <c r="C9" s="38">
        <v>220</v>
      </c>
      <c r="D9" s="38"/>
      <c r="E9" s="39">
        <v>1600</v>
      </c>
      <c r="F9" s="38"/>
      <c r="G9" s="38"/>
      <c r="H9" s="39">
        <v>1875</v>
      </c>
      <c r="I9" s="38"/>
    </row>
    <row r="10" spans="1:9" x14ac:dyDescent="0.2">
      <c r="A10" s="40">
        <v>1988</v>
      </c>
      <c r="B10" s="38">
        <v>500</v>
      </c>
      <c r="C10" s="38"/>
      <c r="D10" s="38"/>
      <c r="E10" s="38">
        <v>750</v>
      </c>
      <c r="F10" s="38">
        <v>433</v>
      </c>
      <c r="G10" s="38">
        <v>456</v>
      </c>
      <c r="H10" s="18">
        <v>433</v>
      </c>
      <c r="I10" s="38"/>
    </row>
    <row r="11" spans="1:9" x14ac:dyDescent="0.2">
      <c r="A11" s="40">
        <v>1989</v>
      </c>
      <c r="B11" s="38">
        <v>320</v>
      </c>
      <c r="C11" s="38"/>
      <c r="D11" s="38"/>
      <c r="E11" s="38">
        <v>680</v>
      </c>
      <c r="F11" s="39">
        <v>1689</v>
      </c>
      <c r="G11" s="39">
        <v>1700</v>
      </c>
      <c r="H11" s="39">
        <v>9569</v>
      </c>
      <c r="I11" s="38"/>
    </row>
    <row r="12" spans="1:9" x14ac:dyDescent="0.2">
      <c r="A12" s="40">
        <v>1990</v>
      </c>
      <c r="B12" s="38">
        <v>275</v>
      </c>
      <c r="C12" s="38">
        <v>300</v>
      </c>
      <c r="D12" s="38"/>
      <c r="E12" s="39">
        <v>3500</v>
      </c>
      <c r="F12" s="38"/>
      <c r="G12" s="38"/>
      <c r="H12" s="127">
        <v>5313</v>
      </c>
      <c r="I12" s="38"/>
    </row>
    <row r="13" spans="1:9" x14ac:dyDescent="0.2">
      <c r="A13" s="40">
        <v>1991</v>
      </c>
      <c r="B13" s="38"/>
      <c r="C13" s="38"/>
      <c r="D13" s="38"/>
      <c r="E13" s="38">
        <v>800</v>
      </c>
      <c r="F13" s="38"/>
      <c r="G13" s="38"/>
      <c r="H13" s="18">
        <v>86</v>
      </c>
      <c r="I13" s="38"/>
    </row>
    <row r="14" spans="1:9" x14ac:dyDescent="0.2">
      <c r="A14" s="40">
        <v>1992</v>
      </c>
      <c r="B14" s="39">
        <v>1000</v>
      </c>
      <c r="C14" s="38">
        <v>10</v>
      </c>
      <c r="D14" s="38"/>
      <c r="E14" s="38">
        <v>50</v>
      </c>
      <c r="F14" s="38"/>
      <c r="G14" s="38"/>
      <c r="H14" s="127">
        <v>7447</v>
      </c>
      <c r="I14" s="38"/>
    </row>
    <row r="15" spans="1:9" x14ac:dyDescent="0.2">
      <c r="A15" s="40">
        <v>1993</v>
      </c>
      <c r="B15" s="39">
        <v>4800</v>
      </c>
      <c r="C15" s="38"/>
      <c r="D15" s="38"/>
      <c r="E15" s="38">
        <v>900</v>
      </c>
      <c r="F15" s="38"/>
      <c r="G15" s="38"/>
      <c r="H15" s="127">
        <v>2104</v>
      </c>
      <c r="I15" s="38"/>
    </row>
    <row r="16" spans="1:9" x14ac:dyDescent="0.2">
      <c r="A16" s="40">
        <v>1994</v>
      </c>
      <c r="B16" s="38">
        <v>250</v>
      </c>
      <c r="C16" s="38"/>
      <c r="D16" s="38"/>
      <c r="E16" s="38">
        <v>600</v>
      </c>
      <c r="F16" s="38">
        <v>366</v>
      </c>
      <c r="G16" s="38"/>
      <c r="H16" s="127">
        <v>3921</v>
      </c>
      <c r="I16" s="38"/>
    </row>
    <row r="17" spans="1:9" x14ac:dyDescent="0.2">
      <c r="A17" s="40">
        <v>1995</v>
      </c>
      <c r="B17" s="39">
        <v>2700</v>
      </c>
      <c r="C17" s="38"/>
      <c r="D17" s="38"/>
      <c r="E17" s="38">
        <v>350</v>
      </c>
      <c r="F17" s="38"/>
      <c r="G17" s="38"/>
      <c r="H17" s="39">
        <v>4042</v>
      </c>
      <c r="I17" s="38"/>
    </row>
    <row r="18" spans="1:9" x14ac:dyDescent="0.2">
      <c r="A18" s="40">
        <v>1996</v>
      </c>
      <c r="B18" s="38">
        <v>325</v>
      </c>
      <c r="C18" s="38"/>
      <c r="D18" s="38"/>
      <c r="E18" s="38">
        <v>650</v>
      </c>
      <c r="F18" s="38"/>
      <c r="G18" s="38"/>
      <c r="H18" s="39">
        <v>1583</v>
      </c>
      <c r="I18" s="38"/>
    </row>
    <row r="19" spans="1:9" x14ac:dyDescent="0.2">
      <c r="A19" s="40">
        <v>1997</v>
      </c>
      <c r="B19" s="38">
        <v>600</v>
      </c>
      <c r="C19" s="38"/>
      <c r="D19" s="38"/>
      <c r="E19" s="38">
        <v>350</v>
      </c>
      <c r="F19" s="38"/>
      <c r="G19" s="38"/>
      <c r="H19" s="39">
        <v>2267</v>
      </c>
      <c r="I19" s="38"/>
    </row>
    <row r="20" spans="1:9" x14ac:dyDescent="0.2">
      <c r="A20" s="40">
        <v>1998</v>
      </c>
      <c r="B20" s="38"/>
      <c r="C20" s="38"/>
      <c r="D20" s="38"/>
      <c r="E20" s="38">
        <v>130</v>
      </c>
      <c r="F20" s="38"/>
      <c r="G20" s="38"/>
      <c r="H20" s="38">
        <v>826</v>
      </c>
      <c r="I20" s="38"/>
    </row>
    <row r="21" spans="1:9" ht="16" x14ac:dyDescent="0.2">
      <c r="A21" s="40" t="s">
        <v>237</v>
      </c>
      <c r="B21" s="38">
        <v>30</v>
      </c>
      <c r="C21" s="38"/>
      <c r="D21" s="38"/>
      <c r="E21" s="38">
        <v>800</v>
      </c>
      <c r="F21" s="38"/>
      <c r="G21" s="38"/>
      <c r="H21" s="18" t="s">
        <v>131</v>
      </c>
      <c r="I21" s="38"/>
    </row>
    <row r="22" spans="1:9" x14ac:dyDescent="0.2">
      <c r="A22" s="40">
        <v>2000</v>
      </c>
      <c r="B22" s="38">
        <v>25</v>
      </c>
      <c r="C22" s="38"/>
      <c r="D22" s="38"/>
      <c r="E22" s="38">
        <v>180</v>
      </c>
      <c r="F22" s="38"/>
      <c r="G22" s="38"/>
      <c r="H22" s="39">
        <v>1860</v>
      </c>
      <c r="I22" s="38"/>
    </row>
    <row r="23" spans="1:9" x14ac:dyDescent="0.2">
      <c r="A23" s="40">
        <v>2001</v>
      </c>
      <c r="B23" s="38"/>
      <c r="C23" s="38"/>
      <c r="D23" s="38"/>
      <c r="E23" s="38">
        <v>700</v>
      </c>
      <c r="F23" s="38"/>
      <c r="G23" s="38"/>
      <c r="H23" s="127">
        <v>1897</v>
      </c>
      <c r="I23" s="38"/>
    </row>
    <row r="24" spans="1:9" x14ac:dyDescent="0.2">
      <c r="A24" s="40">
        <v>2002</v>
      </c>
      <c r="B24" s="40" t="s">
        <v>235</v>
      </c>
      <c r="C24" s="128"/>
      <c r="D24" s="128"/>
      <c r="E24" s="38"/>
      <c r="F24" s="128"/>
      <c r="G24" s="128"/>
      <c r="H24" s="39">
        <v>2765</v>
      </c>
      <c r="I24" s="126"/>
    </row>
    <row r="25" spans="1:9" x14ac:dyDescent="0.2">
      <c r="A25" s="40">
        <v>2003</v>
      </c>
      <c r="B25" s="40" t="s">
        <v>235</v>
      </c>
      <c r="C25" s="128"/>
      <c r="D25" s="128"/>
      <c r="E25" s="38"/>
      <c r="F25" s="128"/>
      <c r="G25" s="128"/>
      <c r="H25" s="127">
        <v>2778</v>
      </c>
      <c r="I25" s="126"/>
    </row>
    <row r="26" spans="1:9" x14ac:dyDescent="0.2">
      <c r="A26" s="40">
        <v>2004</v>
      </c>
      <c r="B26" s="40" t="s">
        <v>235</v>
      </c>
      <c r="C26" s="128"/>
      <c r="D26" s="128"/>
      <c r="E26" s="38"/>
      <c r="F26" s="128"/>
      <c r="G26" s="128"/>
      <c r="H26" s="127">
        <v>1968</v>
      </c>
      <c r="I26" s="126"/>
    </row>
    <row r="27" spans="1:9" x14ac:dyDescent="0.2">
      <c r="A27" s="40">
        <v>2005</v>
      </c>
      <c r="B27" s="40" t="s">
        <v>235</v>
      </c>
      <c r="C27" s="128"/>
      <c r="D27" s="128"/>
      <c r="E27" s="38"/>
      <c r="F27" s="128"/>
      <c r="G27" s="128"/>
      <c r="H27" s="39">
        <v>1408</v>
      </c>
      <c r="I27" s="126"/>
    </row>
    <row r="28" spans="1:9" x14ac:dyDescent="0.2">
      <c r="A28" s="40">
        <v>2006</v>
      </c>
      <c r="B28" s="40" t="s">
        <v>235</v>
      </c>
      <c r="C28" s="128"/>
      <c r="D28" s="128"/>
      <c r="E28" s="38"/>
      <c r="F28" s="128"/>
      <c r="G28" s="128"/>
      <c r="H28" s="38">
        <v>979</v>
      </c>
      <c r="I28" s="126"/>
    </row>
    <row r="29" spans="1:9" x14ac:dyDescent="0.2">
      <c r="A29" s="40">
        <v>2007</v>
      </c>
      <c r="B29" s="40" t="s">
        <v>235</v>
      </c>
      <c r="C29" s="128"/>
      <c r="D29" s="128"/>
      <c r="E29" s="38"/>
      <c r="F29" s="128"/>
      <c r="G29" s="128"/>
      <c r="H29" s="39">
        <v>10254</v>
      </c>
      <c r="I29" s="126"/>
    </row>
    <row r="30" spans="1:9" ht="16" x14ac:dyDescent="0.2">
      <c r="A30" s="40" t="s">
        <v>238</v>
      </c>
      <c r="B30" s="40" t="s">
        <v>235</v>
      </c>
      <c r="C30" s="128"/>
      <c r="D30" s="128"/>
      <c r="E30" s="38"/>
      <c r="F30" s="128"/>
      <c r="G30" s="39">
        <v>1000</v>
      </c>
      <c r="H30" s="38" t="s">
        <v>131</v>
      </c>
      <c r="I30" s="126"/>
    </row>
    <row r="31" spans="1:9" x14ac:dyDescent="0.2">
      <c r="A31" s="40">
        <v>2009</v>
      </c>
      <c r="B31" s="40" t="s">
        <v>235</v>
      </c>
      <c r="C31" s="128"/>
      <c r="D31" s="128"/>
      <c r="E31" s="38"/>
      <c r="F31" s="128"/>
      <c r="G31" s="39">
        <v>4500</v>
      </c>
      <c r="H31" s="18">
        <v>887</v>
      </c>
      <c r="I31" s="126"/>
    </row>
    <row r="32" spans="1:9" x14ac:dyDescent="0.2">
      <c r="A32" s="40">
        <v>2010</v>
      </c>
      <c r="B32" s="40" t="s">
        <v>235</v>
      </c>
      <c r="C32" s="128"/>
      <c r="D32" s="128"/>
      <c r="E32" s="38"/>
      <c r="F32" s="128"/>
      <c r="G32" s="39">
        <v>2500</v>
      </c>
      <c r="H32" s="127">
        <v>2305</v>
      </c>
      <c r="I32" s="126"/>
    </row>
    <row r="33" spans="1:9" x14ac:dyDescent="0.2">
      <c r="A33" s="40">
        <v>2011</v>
      </c>
      <c r="B33" s="40" t="s">
        <v>235</v>
      </c>
      <c r="C33" s="128"/>
      <c r="D33" s="128"/>
      <c r="E33" s="38"/>
      <c r="F33" s="128"/>
      <c r="G33" s="38">
        <v>150</v>
      </c>
      <c r="H33" s="38">
        <v>355</v>
      </c>
      <c r="I33" s="126"/>
    </row>
    <row r="34" spans="1:9" x14ac:dyDescent="0.2">
      <c r="A34" s="40">
        <v>2012</v>
      </c>
      <c r="B34" s="40" t="s">
        <v>235</v>
      </c>
      <c r="C34" s="129"/>
      <c r="D34" s="128"/>
      <c r="E34" s="38"/>
      <c r="F34" s="128"/>
      <c r="G34" s="39">
        <v>2038</v>
      </c>
      <c r="H34" s="127">
        <v>1372</v>
      </c>
      <c r="I34" s="126"/>
    </row>
    <row r="35" spans="1:9" x14ac:dyDescent="0.2">
      <c r="A35" s="40">
        <v>2013</v>
      </c>
      <c r="B35" s="40" t="s">
        <v>235</v>
      </c>
      <c r="C35" s="129"/>
      <c r="D35" s="128"/>
      <c r="E35" s="38"/>
      <c r="F35" s="128"/>
      <c r="G35" s="128"/>
      <c r="H35" s="38">
        <v>129</v>
      </c>
      <c r="I35" s="126"/>
    </row>
    <row r="36" spans="1:9" x14ac:dyDescent="0.2">
      <c r="A36" s="40">
        <v>2014</v>
      </c>
      <c r="B36" s="40" t="s">
        <v>235</v>
      </c>
      <c r="C36" s="129"/>
      <c r="D36" s="128"/>
      <c r="E36" s="38"/>
      <c r="F36" s="128"/>
      <c r="G36" s="38">
        <v>700</v>
      </c>
      <c r="H36" s="18">
        <v>189</v>
      </c>
      <c r="I36" s="126"/>
    </row>
    <row r="37" spans="1:9" x14ac:dyDescent="0.2">
      <c r="A37" s="40">
        <v>2015</v>
      </c>
      <c r="B37" s="40" t="s">
        <v>235</v>
      </c>
      <c r="C37" s="129"/>
      <c r="D37" s="128"/>
      <c r="E37" s="38"/>
      <c r="F37" s="128"/>
      <c r="G37" s="38"/>
      <c r="H37" s="38" t="s">
        <v>236</v>
      </c>
      <c r="I37" s="126"/>
    </row>
    <row r="38" spans="1:9" x14ac:dyDescent="0.2">
      <c r="A38" s="40">
        <v>2016</v>
      </c>
      <c r="B38" s="40" t="s">
        <v>235</v>
      </c>
      <c r="C38" s="129"/>
      <c r="D38" s="128"/>
      <c r="E38" s="38"/>
      <c r="F38" s="128"/>
      <c r="G38" s="38"/>
      <c r="H38" s="38">
        <v>410</v>
      </c>
      <c r="I38" s="126"/>
    </row>
    <row r="39" spans="1:9" x14ac:dyDescent="0.2">
      <c r="A39" s="40">
        <v>2017</v>
      </c>
      <c r="B39" s="40" t="s">
        <v>235</v>
      </c>
      <c r="C39" s="129"/>
      <c r="D39" s="128"/>
      <c r="E39" s="38"/>
      <c r="F39" s="128"/>
      <c r="G39" s="38"/>
      <c r="H39" s="18">
        <v>240</v>
      </c>
      <c r="I39" s="126"/>
    </row>
    <row r="40" spans="1:9" x14ac:dyDescent="0.2">
      <c r="A40" s="40">
        <v>2018</v>
      </c>
      <c r="B40" s="40"/>
      <c r="C40" s="129"/>
      <c r="D40" s="128"/>
      <c r="E40" s="38"/>
      <c r="F40" s="128"/>
      <c r="G40" s="38"/>
      <c r="H40" s="18">
        <v>97</v>
      </c>
      <c r="I40" s="126"/>
    </row>
    <row r="41" spans="1:9" x14ac:dyDescent="0.2">
      <c r="A41" s="40">
        <v>2019</v>
      </c>
      <c r="B41" s="40"/>
      <c r="C41" s="129"/>
      <c r="D41" s="128"/>
      <c r="E41" s="38"/>
      <c r="F41" s="128"/>
      <c r="G41" s="38"/>
      <c r="H41" s="127">
        <v>1497</v>
      </c>
      <c r="I41" s="126"/>
    </row>
    <row r="42" spans="1:9" x14ac:dyDescent="0.2">
      <c r="A42" s="40">
        <v>2020</v>
      </c>
      <c r="B42" s="40"/>
      <c r="C42" s="129"/>
      <c r="D42" s="128"/>
      <c r="E42" s="38"/>
      <c r="F42" s="128"/>
      <c r="G42" s="38"/>
      <c r="H42" s="38">
        <v>65</v>
      </c>
      <c r="I42" s="126"/>
    </row>
    <row r="43" spans="1:9" x14ac:dyDescent="0.2">
      <c r="A43" s="40">
        <v>2021</v>
      </c>
      <c r="B43" s="40"/>
      <c r="C43" s="129"/>
      <c r="D43" s="128"/>
      <c r="E43" s="38"/>
      <c r="F43" s="128"/>
      <c r="G43" s="38"/>
      <c r="H43" s="38">
        <v>685</v>
      </c>
      <c r="I43" s="126"/>
    </row>
    <row r="44" spans="1:9" x14ac:dyDescent="0.2">
      <c r="A44" s="40">
        <v>2022</v>
      </c>
      <c r="B44" s="40"/>
      <c r="C44" s="129"/>
      <c r="D44" s="128"/>
      <c r="E44" s="38"/>
      <c r="F44" s="128"/>
      <c r="G44" s="38"/>
      <c r="H44" s="38">
        <v>461</v>
      </c>
      <c r="I44" s="126"/>
    </row>
    <row r="45" spans="1:9" x14ac:dyDescent="0.2">
      <c r="A45" s="40">
        <v>2023</v>
      </c>
      <c r="B45" s="40"/>
      <c r="C45" s="129"/>
      <c r="D45" s="128"/>
      <c r="E45" s="38"/>
      <c r="F45" s="128"/>
      <c r="G45" s="38"/>
      <c r="H45" s="38">
        <v>285</v>
      </c>
      <c r="I45" s="126"/>
    </row>
    <row r="46" spans="1:9" x14ac:dyDescent="0.2">
      <c r="A46" s="102">
        <v>2024</v>
      </c>
      <c r="B46" s="102"/>
      <c r="C46" s="130"/>
      <c r="D46" s="131"/>
      <c r="E46" s="41"/>
      <c r="F46" s="131"/>
      <c r="G46" s="41"/>
      <c r="H46" s="41">
        <v>824</v>
      </c>
      <c r="I46" s="126"/>
    </row>
    <row r="47" spans="1:9" x14ac:dyDescent="0.2">
      <c r="A47" s="116" t="s">
        <v>24</v>
      </c>
      <c r="B47" s="40"/>
      <c r="C47" s="38"/>
      <c r="D47" s="38"/>
      <c r="E47" s="38"/>
      <c r="F47" s="38"/>
      <c r="G47" s="38"/>
      <c r="H47" s="38"/>
      <c r="I47" s="126"/>
    </row>
    <row r="48" spans="1:9" x14ac:dyDescent="0.2">
      <c r="A48" s="116" t="s">
        <v>331</v>
      </c>
      <c r="B48" s="38"/>
      <c r="C48" s="38"/>
      <c r="D48" s="38"/>
      <c r="E48" s="38"/>
      <c r="F48" s="38"/>
      <c r="G48" s="38"/>
      <c r="H48" s="113">
        <v>2110</v>
      </c>
      <c r="I48" s="126"/>
    </row>
    <row r="49" spans="1:9" x14ac:dyDescent="0.2">
      <c r="A49" s="110" t="s">
        <v>302</v>
      </c>
      <c r="B49" s="41"/>
      <c r="C49" s="41"/>
      <c r="D49" s="41"/>
      <c r="E49" s="41"/>
      <c r="F49" s="41"/>
      <c r="G49" s="41"/>
      <c r="H49" s="115">
        <v>437</v>
      </c>
      <c r="I49" s="126"/>
    </row>
    <row r="50" spans="1:9" ht="16" x14ac:dyDescent="0.2">
      <c r="A50" s="123" t="s">
        <v>332</v>
      </c>
      <c r="B50" s="40"/>
      <c r="C50" s="40"/>
      <c r="D50" s="40"/>
      <c r="E50" s="38"/>
      <c r="F50" s="38"/>
      <c r="G50" s="38"/>
      <c r="H50" s="38"/>
      <c r="I50" s="38"/>
    </row>
  </sheetData>
  <mergeCells count="2">
    <mergeCell ref="B4:E4"/>
    <mergeCell ref="F4:G4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B2F5-3E9A-45CC-8993-6F901A2DD5CA}">
  <dimension ref="A1:K28"/>
  <sheetViews>
    <sheetView workbookViewId="0">
      <selection activeCell="C31" sqref="C31"/>
    </sheetView>
  </sheetViews>
  <sheetFormatPr baseColWidth="10" defaultColWidth="9.1640625" defaultRowHeight="13" x14ac:dyDescent="0.2"/>
  <cols>
    <col min="1" max="1" width="8" style="43" customWidth="1"/>
    <col min="2" max="3" width="17.6640625" style="43" customWidth="1"/>
    <col min="4" max="4" width="9" style="43" customWidth="1"/>
    <col min="5" max="6" width="9.1640625" style="43" customWidth="1"/>
    <col min="7" max="7" width="13" style="43" customWidth="1"/>
    <col min="8" max="8" width="10" style="43" customWidth="1"/>
    <col min="9" max="9" width="11.5" style="43" customWidth="1"/>
    <col min="10" max="10" width="20.33203125" style="43" customWidth="1"/>
    <col min="11" max="16384" width="9.1640625" style="43"/>
  </cols>
  <sheetData>
    <row r="1" spans="1:11" x14ac:dyDescent="0.15">
      <c r="A1" s="121" t="s">
        <v>266</v>
      </c>
      <c r="B1" s="121"/>
      <c r="C1" s="121"/>
      <c r="D1" s="121"/>
      <c r="E1" s="122"/>
      <c r="F1" s="122"/>
      <c r="G1" s="122"/>
      <c r="H1" s="122"/>
      <c r="I1" s="122"/>
      <c r="J1" s="122"/>
    </row>
    <row r="2" spans="1:11" x14ac:dyDescent="0.15">
      <c r="A2" s="132"/>
      <c r="B2" s="132"/>
      <c r="C2" s="132"/>
      <c r="D2" s="132"/>
      <c r="E2" s="133"/>
      <c r="F2" s="133"/>
      <c r="G2" s="133"/>
      <c r="H2" s="133"/>
      <c r="I2" s="133"/>
      <c r="J2" s="133"/>
    </row>
    <row r="3" spans="1:11" ht="15" x14ac:dyDescent="0.15">
      <c r="A3" s="40"/>
      <c r="B3" s="38" t="s">
        <v>267</v>
      </c>
      <c r="C3" s="38"/>
      <c r="D3" s="207" t="s">
        <v>268</v>
      </c>
      <c r="E3" s="207"/>
      <c r="F3" s="38" t="s">
        <v>3</v>
      </c>
      <c r="G3" s="38" t="s">
        <v>148</v>
      </c>
      <c r="H3" s="38" t="s">
        <v>4</v>
      </c>
      <c r="I3" s="38" t="s">
        <v>33</v>
      </c>
      <c r="J3" s="38" t="s">
        <v>269</v>
      </c>
      <c r="K3" s="44"/>
    </row>
    <row r="4" spans="1:11" ht="15" x14ac:dyDescent="0.15">
      <c r="A4" s="102" t="s">
        <v>10</v>
      </c>
      <c r="B4" s="41" t="s">
        <v>120</v>
      </c>
      <c r="C4" s="41" t="s">
        <v>116</v>
      </c>
      <c r="D4" s="41" t="s">
        <v>117</v>
      </c>
      <c r="E4" s="41" t="s">
        <v>118</v>
      </c>
      <c r="F4" s="41" t="s">
        <v>64</v>
      </c>
      <c r="G4" s="41" t="s">
        <v>13</v>
      </c>
      <c r="H4" s="41" t="s">
        <v>64</v>
      </c>
      <c r="I4" s="41" t="s">
        <v>243</v>
      </c>
      <c r="J4" s="41" t="s">
        <v>244</v>
      </c>
      <c r="K4" s="44"/>
    </row>
    <row r="5" spans="1:11" x14ac:dyDescent="0.15">
      <c r="A5" s="40">
        <v>2000</v>
      </c>
      <c r="B5" s="39">
        <v>37887</v>
      </c>
      <c r="C5" s="38" t="s">
        <v>270</v>
      </c>
      <c r="D5" s="39">
        <v>23410</v>
      </c>
      <c r="E5" s="39">
        <v>52365</v>
      </c>
      <c r="F5" s="112">
        <v>745</v>
      </c>
      <c r="G5" s="113">
        <v>37142</v>
      </c>
      <c r="H5" s="113">
        <v>9668</v>
      </c>
      <c r="I5" s="113">
        <v>47555</v>
      </c>
      <c r="J5" s="134">
        <v>0.14599999999999999</v>
      </c>
    </row>
    <row r="6" spans="1:11" x14ac:dyDescent="0.15">
      <c r="A6" s="40">
        <v>2001</v>
      </c>
      <c r="B6" s="39">
        <v>31164</v>
      </c>
      <c r="C6" s="38" t="s">
        <v>270</v>
      </c>
      <c r="D6" s="39">
        <v>23143</v>
      </c>
      <c r="E6" s="39">
        <v>39185</v>
      </c>
      <c r="F6" s="113">
        <v>1177</v>
      </c>
      <c r="G6" s="113">
        <v>29987</v>
      </c>
      <c r="H6" s="113">
        <v>14067</v>
      </c>
      <c r="I6" s="113">
        <v>45231</v>
      </c>
      <c r="J6" s="134">
        <v>0.311</v>
      </c>
    </row>
    <row r="7" spans="1:11" x14ac:dyDescent="0.15">
      <c r="A7" s="40">
        <v>2002</v>
      </c>
      <c r="B7" s="39">
        <v>95427</v>
      </c>
      <c r="C7" s="38" t="s">
        <v>270</v>
      </c>
      <c r="D7" s="39">
        <v>55893</v>
      </c>
      <c r="E7" s="39">
        <v>134961</v>
      </c>
      <c r="F7" s="113">
        <v>2255</v>
      </c>
      <c r="G7" s="113">
        <v>93172</v>
      </c>
      <c r="H7" s="113">
        <v>17150</v>
      </c>
      <c r="I7" s="113">
        <v>112577</v>
      </c>
      <c r="J7" s="134">
        <v>0.253</v>
      </c>
    </row>
    <row r="8" spans="1:11" x14ac:dyDescent="0.15">
      <c r="A8" s="40">
        <v>2003</v>
      </c>
      <c r="B8" s="39">
        <v>103507</v>
      </c>
      <c r="C8" s="38" t="s">
        <v>270</v>
      </c>
      <c r="D8" s="39">
        <v>74350</v>
      </c>
      <c r="E8" s="39">
        <v>132664</v>
      </c>
      <c r="F8" s="113">
        <v>2795</v>
      </c>
      <c r="G8" s="113">
        <v>100712</v>
      </c>
      <c r="H8" s="113">
        <v>39874</v>
      </c>
      <c r="I8" s="113">
        <v>143381</v>
      </c>
      <c r="J8" s="134">
        <v>0.31900000000000001</v>
      </c>
    </row>
    <row r="9" spans="1:11" x14ac:dyDescent="0.15">
      <c r="A9" s="40">
        <v>2004</v>
      </c>
      <c r="B9" s="39">
        <v>83703</v>
      </c>
      <c r="C9" s="38" t="s">
        <v>270</v>
      </c>
      <c r="D9" s="39">
        <v>39566</v>
      </c>
      <c r="E9" s="39">
        <v>127841</v>
      </c>
      <c r="F9" s="113">
        <v>2122</v>
      </c>
      <c r="G9" s="113">
        <v>81581</v>
      </c>
      <c r="H9" s="113">
        <v>18254</v>
      </c>
      <c r="I9" s="113">
        <v>101957</v>
      </c>
      <c r="J9" s="134">
        <v>0.16800000000000001</v>
      </c>
    </row>
    <row r="10" spans="1:11" x14ac:dyDescent="0.15">
      <c r="A10" s="40">
        <v>2005</v>
      </c>
      <c r="B10" s="39">
        <v>57817</v>
      </c>
      <c r="C10" s="38" t="s">
        <v>271</v>
      </c>
      <c r="D10" s="39">
        <v>21907</v>
      </c>
      <c r="E10" s="39">
        <v>93727</v>
      </c>
      <c r="F10" s="112">
        <v>594</v>
      </c>
      <c r="G10" s="113">
        <v>57223</v>
      </c>
      <c r="H10" s="113">
        <v>7857</v>
      </c>
      <c r="I10" s="113">
        <v>65674</v>
      </c>
      <c r="J10" s="134">
        <v>5.5E-2</v>
      </c>
    </row>
    <row r="11" spans="1:11" x14ac:dyDescent="0.15">
      <c r="A11" s="40">
        <v>2006</v>
      </c>
      <c r="B11" s="39">
        <v>48901</v>
      </c>
      <c r="C11" s="38" t="s">
        <v>271</v>
      </c>
      <c r="D11" s="39">
        <v>41234</v>
      </c>
      <c r="E11" s="39">
        <v>56569</v>
      </c>
      <c r="F11" s="113">
        <v>1327</v>
      </c>
      <c r="G11" s="113">
        <v>47574</v>
      </c>
      <c r="H11" s="113">
        <v>10338</v>
      </c>
      <c r="I11" s="113">
        <v>59239</v>
      </c>
      <c r="J11" s="134">
        <v>0.27100000000000002</v>
      </c>
    </row>
    <row r="12" spans="1:11" x14ac:dyDescent="0.15">
      <c r="A12" s="40"/>
      <c r="B12" s="38"/>
      <c r="C12" s="38"/>
      <c r="D12" s="38"/>
      <c r="E12" s="38"/>
      <c r="F12" s="112"/>
      <c r="G12" s="112"/>
      <c r="H12" s="112"/>
      <c r="I12" s="112"/>
      <c r="J12" s="112"/>
    </row>
    <row r="13" spans="1:11" x14ac:dyDescent="0.15">
      <c r="A13" s="40">
        <v>2011</v>
      </c>
      <c r="B13" s="39">
        <v>86009</v>
      </c>
      <c r="C13" s="38" t="s">
        <v>271</v>
      </c>
      <c r="D13" s="39">
        <v>72970</v>
      </c>
      <c r="E13" s="39">
        <v>99049</v>
      </c>
      <c r="F13" s="113">
        <v>2110</v>
      </c>
      <c r="G13" s="113">
        <v>83899</v>
      </c>
      <c r="H13" s="113">
        <v>24556</v>
      </c>
      <c r="I13" s="113">
        <v>110565</v>
      </c>
      <c r="J13" s="134">
        <v>0.248</v>
      </c>
    </row>
    <row r="14" spans="1:11" x14ac:dyDescent="0.15">
      <c r="A14" s="40">
        <v>2012</v>
      </c>
      <c r="B14" s="39">
        <v>78384</v>
      </c>
      <c r="C14" s="38" t="s">
        <v>271</v>
      </c>
      <c r="D14" s="39">
        <v>64311</v>
      </c>
      <c r="E14" s="39">
        <v>92456</v>
      </c>
      <c r="F14" s="113">
        <v>1786</v>
      </c>
      <c r="G14" s="113">
        <v>76598</v>
      </c>
      <c r="H14" s="113">
        <v>18582</v>
      </c>
      <c r="I14" s="113">
        <v>96966</v>
      </c>
      <c r="J14" s="134">
        <v>0.224</v>
      </c>
    </row>
    <row r="15" spans="1:11" x14ac:dyDescent="0.15">
      <c r="A15" s="40">
        <v>2013</v>
      </c>
      <c r="B15" s="39">
        <v>84279</v>
      </c>
      <c r="C15" s="38" t="s">
        <v>271</v>
      </c>
      <c r="D15" s="39">
        <v>16466</v>
      </c>
      <c r="E15" s="39">
        <v>152091</v>
      </c>
      <c r="F15" s="112">
        <v>508</v>
      </c>
      <c r="G15" s="113">
        <v>83771</v>
      </c>
      <c r="H15" s="113">
        <v>7664</v>
      </c>
      <c r="I15" s="113">
        <v>91943</v>
      </c>
      <c r="J15" s="134">
        <v>4.4999999999999998E-2</v>
      </c>
    </row>
    <row r="16" spans="1:11" x14ac:dyDescent="0.15">
      <c r="A16" s="40">
        <v>2014</v>
      </c>
      <c r="B16" s="39">
        <v>88233</v>
      </c>
      <c r="C16" s="38" t="s">
        <v>271</v>
      </c>
      <c r="D16" s="39">
        <v>69508</v>
      </c>
      <c r="E16" s="39">
        <v>106958</v>
      </c>
      <c r="F16" s="113">
        <v>1140</v>
      </c>
      <c r="G16" s="113">
        <v>87093</v>
      </c>
      <c r="H16" s="113">
        <v>33847</v>
      </c>
      <c r="I16" s="113">
        <v>122080</v>
      </c>
      <c r="J16" s="134">
        <v>0.13900000000000001</v>
      </c>
    </row>
    <row r="17" spans="1:10" x14ac:dyDescent="0.15">
      <c r="A17" s="40">
        <v>2015</v>
      </c>
      <c r="B17" s="39">
        <v>64793</v>
      </c>
      <c r="C17" s="38" t="s">
        <v>271</v>
      </c>
      <c r="D17" s="39">
        <v>47474</v>
      </c>
      <c r="E17" s="39">
        <v>82111</v>
      </c>
      <c r="F17" s="113">
        <v>1084</v>
      </c>
      <c r="G17" s="113">
        <v>63709</v>
      </c>
      <c r="H17" s="113">
        <v>16267</v>
      </c>
      <c r="I17" s="113">
        <v>81060</v>
      </c>
      <c r="J17" s="134">
        <v>0.17799999999999999</v>
      </c>
    </row>
    <row r="18" spans="1:10" x14ac:dyDescent="0.15">
      <c r="A18" s="40">
        <v>2016</v>
      </c>
      <c r="B18" s="39">
        <v>59651</v>
      </c>
      <c r="C18" s="38" t="s">
        <v>271</v>
      </c>
      <c r="D18" s="39">
        <v>43558</v>
      </c>
      <c r="E18" s="39">
        <v>75743</v>
      </c>
      <c r="F18" s="112">
        <v>815</v>
      </c>
      <c r="G18" s="113">
        <v>58836</v>
      </c>
      <c r="H18" s="113">
        <v>6890</v>
      </c>
      <c r="I18" s="113">
        <v>66541</v>
      </c>
      <c r="J18" s="134">
        <v>0.126</v>
      </c>
    </row>
    <row r="19" spans="1:10" x14ac:dyDescent="0.15">
      <c r="A19" s="40">
        <v>2017</v>
      </c>
      <c r="B19" s="39">
        <v>102186</v>
      </c>
      <c r="C19" s="38" t="s">
        <v>271</v>
      </c>
      <c r="D19" s="39">
        <v>57832</v>
      </c>
      <c r="E19" s="39">
        <v>146540</v>
      </c>
      <c r="F19" s="112">
        <v>622</v>
      </c>
      <c r="G19" s="113">
        <v>101564</v>
      </c>
      <c r="H19" s="113">
        <v>5008</v>
      </c>
      <c r="I19" s="113">
        <v>107194</v>
      </c>
      <c r="J19" s="134">
        <v>3.6999999999999998E-2</v>
      </c>
    </row>
    <row r="20" spans="1:10" x14ac:dyDescent="0.15">
      <c r="A20" s="40">
        <v>2018</v>
      </c>
      <c r="B20" s="89" t="s">
        <v>242</v>
      </c>
      <c r="C20" s="89"/>
      <c r="D20" s="38"/>
      <c r="E20" s="38"/>
      <c r="F20" s="112"/>
      <c r="G20" s="112"/>
      <c r="H20" s="112"/>
      <c r="I20" s="112"/>
      <c r="J20" s="112"/>
    </row>
    <row r="21" spans="1:10" x14ac:dyDescent="0.15">
      <c r="A21" s="40">
        <v>2019</v>
      </c>
      <c r="B21" s="39">
        <v>82536</v>
      </c>
      <c r="C21" s="38" t="s">
        <v>271</v>
      </c>
      <c r="D21" s="39">
        <v>69077</v>
      </c>
      <c r="E21" s="39">
        <v>95995</v>
      </c>
      <c r="F21" s="112">
        <v>653</v>
      </c>
      <c r="G21" s="113">
        <v>81883</v>
      </c>
      <c r="H21" s="113">
        <v>10016</v>
      </c>
      <c r="I21" s="113">
        <v>92552</v>
      </c>
      <c r="J21" s="134">
        <v>0.22900000000000001</v>
      </c>
    </row>
    <row r="22" spans="1:10" x14ac:dyDescent="0.15">
      <c r="A22" s="40">
        <v>2020</v>
      </c>
      <c r="B22" s="39">
        <v>13289</v>
      </c>
      <c r="C22" s="38" t="s">
        <v>271</v>
      </c>
      <c r="D22" s="39">
        <v>11618</v>
      </c>
      <c r="E22" s="39">
        <v>14960</v>
      </c>
      <c r="F22" s="112">
        <v>218</v>
      </c>
      <c r="G22" s="113">
        <v>13071</v>
      </c>
      <c r="H22" s="113">
        <v>2706</v>
      </c>
      <c r="I22" s="113">
        <v>15995</v>
      </c>
      <c r="J22" s="134">
        <v>0.32800000000000001</v>
      </c>
    </row>
    <row r="23" spans="1:10" x14ac:dyDescent="0.15">
      <c r="A23" s="40">
        <v>2021</v>
      </c>
      <c r="B23" s="39">
        <v>101317</v>
      </c>
      <c r="C23" s="38" t="s">
        <v>271</v>
      </c>
      <c r="D23" s="39">
        <v>83903</v>
      </c>
      <c r="E23" s="39">
        <v>118731</v>
      </c>
      <c r="F23" s="113">
        <v>1519</v>
      </c>
      <c r="G23" s="113">
        <v>99798</v>
      </c>
      <c r="H23" s="113">
        <v>8957</v>
      </c>
      <c r="I23" s="113">
        <v>110274</v>
      </c>
      <c r="J23" s="134">
        <v>0.25700000000000001</v>
      </c>
    </row>
    <row r="24" spans="1:10" x14ac:dyDescent="0.15">
      <c r="A24" s="40">
        <v>2022</v>
      </c>
      <c r="B24" s="39">
        <v>136147</v>
      </c>
      <c r="C24" s="38" t="s">
        <v>270</v>
      </c>
      <c r="D24" s="39">
        <v>124142</v>
      </c>
      <c r="E24" s="39">
        <v>148152</v>
      </c>
      <c r="F24" s="113">
        <v>1729</v>
      </c>
      <c r="G24" s="113">
        <v>134418</v>
      </c>
      <c r="H24" s="113">
        <v>4843</v>
      </c>
      <c r="I24" s="113">
        <v>140990</v>
      </c>
      <c r="J24" s="134">
        <v>0.22</v>
      </c>
    </row>
    <row r="25" spans="1:10" x14ac:dyDescent="0.15">
      <c r="A25" s="40">
        <v>2023</v>
      </c>
      <c r="B25" s="39">
        <v>35616</v>
      </c>
      <c r="C25" s="38" t="s">
        <v>270</v>
      </c>
      <c r="D25" s="39">
        <v>32654</v>
      </c>
      <c r="E25" s="39">
        <v>38578</v>
      </c>
      <c r="F25" s="112">
        <v>880</v>
      </c>
      <c r="G25" s="113">
        <v>34736</v>
      </c>
      <c r="H25" s="113">
        <v>2877</v>
      </c>
      <c r="I25" s="113">
        <v>38493</v>
      </c>
      <c r="J25" s="134">
        <v>0.39400000000000002</v>
      </c>
    </row>
    <row r="26" spans="1:10" x14ac:dyDescent="0.15">
      <c r="A26" s="40">
        <v>2024</v>
      </c>
      <c r="B26" s="39">
        <v>54952</v>
      </c>
      <c r="C26" s="38" t="s">
        <v>270</v>
      </c>
      <c r="D26" s="39">
        <v>41238</v>
      </c>
      <c r="E26" s="39">
        <v>68666</v>
      </c>
      <c r="F26" s="115">
        <v>689</v>
      </c>
      <c r="G26" s="114">
        <v>54263</v>
      </c>
      <c r="H26" s="114">
        <v>4043</v>
      </c>
      <c r="I26" s="114">
        <v>58995</v>
      </c>
      <c r="J26" s="135">
        <v>0.185</v>
      </c>
    </row>
    <row r="27" spans="1:10" x14ac:dyDescent="0.15">
      <c r="A27" s="124" t="s">
        <v>24</v>
      </c>
      <c r="B27" s="124"/>
      <c r="C27" s="124"/>
      <c r="D27" s="124"/>
      <c r="E27" s="125"/>
      <c r="F27" s="125"/>
      <c r="G27" s="125"/>
      <c r="H27" s="125"/>
      <c r="I27" s="125"/>
      <c r="J27" s="125"/>
    </row>
    <row r="28" spans="1:10" x14ac:dyDescent="0.15">
      <c r="A28" s="136" t="s">
        <v>302</v>
      </c>
      <c r="B28" s="114">
        <v>75974</v>
      </c>
      <c r="C28" s="115"/>
      <c r="D28" s="115"/>
      <c r="E28" s="115"/>
      <c r="F28" s="115">
        <v>962</v>
      </c>
      <c r="G28" s="114">
        <v>75012</v>
      </c>
      <c r="H28" s="114">
        <v>10157</v>
      </c>
      <c r="I28" s="114">
        <v>86131</v>
      </c>
      <c r="J28" s="137">
        <v>0.21</v>
      </c>
    </row>
  </sheetData>
  <mergeCells count="1">
    <mergeCell ref="D3:E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6"/>
  <sheetViews>
    <sheetView topLeftCell="A23" workbookViewId="0">
      <selection activeCell="G58" sqref="G58"/>
    </sheetView>
  </sheetViews>
  <sheetFormatPr baseColWidth="10" defaultColWidth="8.83203125" defaultRowHeight="15" x14ac:dyDescent="0.2"/>
  <sheetData>
    <row r="1" spans="1:8" x14ac:dyDescent="0.2">
      <c r="A1" s="110" t="s">
        <v>239</v>
      </c>
      <c r="B1" s="41"/>
      <c r="C1" s="41"/>
      <c r="D1" s="41"/>
      <c r="E1" s="41"/>
      <c r="F1" s="38"/>
      <c r="G1" s="38"/>
      <c r="H1" s="38"/>
    </row>
    <row r="2" spans="1:8" x14ac:dyDescent="0.2">
      <c r="A2" s="102" t="s">
        <v>240</v>
      </c>
      <c r="B2" s="41"/>
      <c r="C2" s="41"/>
      <c r="D2" s="41"/>
      <c r="E2" s="41"/>
      <c r="F2" s="38"/>
      <c r="G2" s="38"/>
      <c r="H2" s="38"/>
    </row>
    <row r="3" spans="1:8" x14ac:dyDescent="0.2">
      <c r="A3" s="108" t="s">
        <v>10</v>
      </c>
      <c r="B3" s="105" t="s">
        <v>212</v>
      </c>
      <c r="C3" s="105" t="s">
        <v>64</v>
      </c>
      <c r="D3" s="105" t="s">
        <v>241</v>
      </c>
      <c r="E3" s="38"/>
      <c r="F3" s="38"/>
      <c r="G3" s="38"/>
      <c r="H3" s="38"/>
    </row>
    <row r="4" spans="1:8" x14ac:dyDescent="0.2">
      <c r="A4" s="40">
        <v>1976</v>
      </c>
      <c r="B4" s="39">
        <v>1572</v>
      </c>
      <c r="C4" s="89"/>
      <c r="D4" s="38"/>
      <c r="E4" s="38"/>
      <c r="F4" s="38"/>
      <c r="G4" s="38"/>
      <c r="H4" s="38"/>
    </row>
    <row r="5" spans="1:8" x14ac:dyDescent="0.2">
      <c r="A5" s="40">
        <v>1977</v>
      </c>
      <c r="B5" s="39">
        <v>2758</v>
      </c>
      <c r="C5" s="89"/>
      <c r="D5" s="38"/>
      <c r="E5" s="38"/>
      <c r="F5" s="38"/>
      <c r="G5" s="38"/>
      <c r="H5" s="38"/>
    </row>
    <row r="6" spans="1:8" x14ac:dyDescent="0.2">
      <c r="A6" s="40">
        <v>1978</v>
      </c>
      <c r="B6" s="38">
        <v>30</v>
      </c>
      <c r="C6" s="38"/>
      <c r="D6" s="38"/>
      <c r="E6" s="38"/>
      <c r="F6" s="38"/>
      <c r="G6" s="38"/>
      <c r="H6" s="38"/>
    </row>
    <row r="7" spans="1:8" x14ac:dyDescent="0.2">
      <c r="A7" s="40">
        <v>1979</v>
      </c>
      <c r="B7" s="38">
        <v>175</v>
      </c>
      <c r="C7" s="38"/>
      <c r="D7" s="38"/>
      <c r="E7" s="38"/>
      <c r="F7" s="38"/>
      <c r="G7" s="38"/>
      <c r="H7" s="38"/>
    </row>
    <row r="8" spans="1:8" x14ac:dyDescent="0.2">
      <c r="A8" s="40">
        <v>1980</v>
      </c>
      <c r="B8" s="38">
        <v>704</v>
      </c>
      <c r="C8" s="38"/>
      <c r="D8" s="38"/>
      <c r="E8" s="38"/>
      <c r="F8" s="38"/>
      <c r="G8" s="38"/>
      <c r="H8" s="38"/>
    </row>
    <row r="9" spans="1:8" x14ac:dyDescent="0.2">
      <c r="A9" s="40">
        <v>1981</v>
      </c>
      <c r="B9" s="39">
        <v>1170</v>
      </c>
      <c r="C9" s="38"/>
      <c r="D9" s="38"/>
      <c r="E9" s="38"/>
      <c r="F9" s="38"/>
      <c r="G9" s="38"/>
      <c r="H9" s="38"/>
    </row>
    <row r="10" spans="1:8" x14ac:dyDescent="0.2">
      <c r="A10" s="40">
        <v>1982</v>
      </c>
      <c r="B10" s="38">
        <v>189</v>
      </c>
      <c r="C10" s="38"/>
      <c r="D10" s="38"/>
      <c r="E10" s="38"/>
      <c r="F10" s="38"/>
      <c r="G10" s="38"/>
      <c r="H10" s="38"/>
    </row>
    <row r="11" spans="1:8" x14ac:dyDescent="0.2">
      <c r="A11" s="40">
        <v>1983</v>
      </c>
      <c r="B11" s="38">
        <v>303</v>
      </c>
      <c r="C11" s="38"/>
      <c r="D11" s="38"/>
      <c r="E11" s="38"/>
      <c r="F11" s="38"/>
      <c r="G11" s="38"/>
      <c r="H11" s="38"/>
    </row>
    <row r="12" spans="1:8" x14ac:dyDescent="0.2">
      <c r="A12" s="40">
        <v>1984</v>
      </c>
      <c r="B12" s="39">
        <v>1402</v>
      </c>
      <c r="C12" s="38"/>
      <c r="D12" s="38"/>
      <c r="E12" s="38"/>
      <c r="F12" s="38"/>
      <c r="G12" s="38"/>
      <c r="H12" s="38"/>
    </row>
    <row r="13" spans="1:8" x14ac:dyDescent="0.2">
      <c r="A13" s="40">
        <v>1985</v>
      </c>
      <c r="B13" s="38">
        <v>350</v>
      </c>
      <c r="C13" s="38"/>
      <c r="D13" s="38"/>
      <c r="E13" s="38"/>
      <c r="F13" s="38"/>
      <c r="G13" s="38"/>
      <c r="H13" s="38"/>
    </row>
    <row r="14" spans="1:8" x14ac:dyDescent="0.2">
      <c r="A14" s="40">
        <v>1986</v>
      </c>
      <c r="B14" s="38">
        <v>71</v>
      </c>
      <c r="C14" s="38"/>
      <c r="D14" s="38"/>
      <c r="E14" s="38"/>
      <c r="F14" s="38"/>
      <c r="G14" s="38"/>
      <c r="H14" s="38"/>
    </row>
    <row r="15" spans="1:8" x14ac:dyDescent="0.2">
      <c r="A15" s="40">
        <v>1987</v>
      </c>
      <c r="B15" s="38">
        <v>202</v>
      </c>
      <c r="C15" s="38"/>
      <c r="D15" s="38"/>
      <c r="E15" s="38"/>
      <c r="F15" s="38"/>
      <c r="G15" s="38"/>
      <c r="H15" s="38"/>
    </row>
    <row r="16" spans="1:8" x14ac:dyDescent="0.2">
      <c r="A16" s="40">
        <v>1988</v>
      </c>
      <c r="B16" s="39">
        <v>2774</v>
      </c>
      <c r="C16" s="38"/>
      <c r="D16" s="38"/>
      <c r="E16" s="38"/>
      <c r="F16" s="38"/>
      <c r="G16" s="38"/>
      <c r="H16" s="38"/>
    </row>
    <row r="17" spans="1:8" x14ac:dyDescent="0.2">
      <c r="A17" s="40">
        <v>1989</v>
      </c>
      <c r="B17" s="39">
        <v>2219</v>
      </c>
      <c r="C17" s="38"/>
      <c r="D17" s="38"/>
      <c r="E17" s="38"/>
      <c r="F17" s="38"/>
      <c r="G17" s="38"/>
      <c r="H17" s="38"/>
    </row>
    <row r="18" spans="1:8" x14ac:dyDescent="0.2">
      <c r="A18" s="40">
        <v>1990</v>
      </c>
      <c r="B18" s="38">
        <v>315</v>
      </c>
      <c r="C18" s="38"/>
      <c r="D18" s="38"/>
      <c r="E18" s="38"/>
      <c r="F18" s="38"/>
      <c r="G18" s="38"/>
      <c r="H18" s="38"/>
    </row>
    <row r="19" spans="1:8" x14ac:dyDescent="0.2">
      <c r="A19" s="40">
        <v>1991</v>
      </c>
      <c r="B19" s="39">
        <v>8540</v>
      </c>
      <c r="C19" s="112">
        <v>62</v>
      </c>
      <c r="D19" s="39">
        <v>8478</v>
      </c>
      <c r="E19" s="38"/>
      <c r="F19" s="38"/>
      <c r="G19" s="38"/>
      <c r="H19" s="38"/>
    </row>
    <row r="20" spans="1:8" x14ac:dyDescent="0.2">
      <c r="A20" s="40">
        <v>1992</v>
      </c>
      <c r="B20" s="39">
        <v>1145</v>
      </c>
      <c r="C20" s="112">
        <v>0</v>
      </c>
      <c r="D20" s="39">
        <v>1145</v>
      </c>
      <c r="E20" s="38"/>
      <c r="F20" s="38"/>
      <c r="G20" s="38"/>
      <c r="H20" s="38"/>
    </row>
    <row r="21" spans="1:8" x14ac:dyDescent="0.2">
      <c r="A21" s="40">
        <v>1993</v>
      </c>
      <c r="B21" s="38">
        <v>788</v>
      </c>
      <c r="C21" s="112">
        <v>0</v>
      </c>
      <c r="D21" s="38">
        <v>788</v>
      </c>
      <c r="E21" s="38"/>
      <c r="F21" s="38"/>
      <c r="G21" s="38"/>
      <c r="H21" s="38"/>
    </row>
    <row r="22" spans="1:8" x14ac:dyDescent="0.2">
      <c r="A22" s="40">
        <v>1994</v>
      </c>
      <c r="B22" s="39">
        <v>1232</v>
      </c>
      <c r="C22" s="112">
        <v>0</v>
      </c>
      <c r="D22" s="39">
        <v>1232</v>
      </c>
      <c r="E22" s="38"/>
      <c r="F22" s="38"/>
      <c r="G22" s="38"/>
      <c r="H22" s="38"/>
    </row>
    <row r="23" spans="1:8" x14ac:dyDescent="0.2">
      <c r="A23" s="40">
        <v>1995</v>
      </c>
      <c r="B23" s="39">
        <v>3614</v>
      </c>
      <c r="C23" s="112">
        <v>50</v>
      </c>
      <c r="D23" s="39">
        <v>3564</v>
      </c>
      <c r="E23" s="38"/>
      <c r="F23" s="38"/>
      <c r="G23" s="38"/>
      <c r="H23" s="38"/>
    </row>
    <row r="24" spans="1:8" x14ac:dyDescent="0.2">
      <c r="A24" s="40">
        <v>1996</v>
      </c>
      <c r="B24" s="39">
        <v>3465</v>
      </c>
      <c r="C24" s="112">
        <v>0</v>
      </c>
      <c r="D24" s="39">
        <v>3465</v>
      </c>
      <c r="E24" s="38"/>
      <c r="F24" s="38"/>
      <c r="G24" s="38"/>
      <c r="H24" s="38"/>
    </row>
    <row r="25" spans="1:8" x14ac:dyDescent="0.2">
      <c r="A25" s="40">
        <v>1997</v>
      </c>
      <c r="B25" s="38">
        <v>307</v>
      </c>
      <c r="C25" s="112">
        <v>5</v>
      </c>
      <c r="D25" s="38">
        <v>302</v>
      </c>
      <c r="E25" s="38"/>
      <c r="F25" s="38"/>
      <c r="G25" s="38"/>
      <c r="H25" s="38"/>
    </row>
    <row r="26" spans="1:8" x14ac:dyDescent="0.2">
      <c r="A26" s="40">
        <v>1998</v>
      </c>
      <c r="B26" s="39">
        <v>1961</v>
      </c>
      <c r="C26" s="112">
        <v>0</v>
      </c>
      <c r="D26" s="39">
        <v>1961</v>
      </c>
      <c r="E26" s="38"/>
      <c r="F26" s="38"/>
      <c r="G26" s="38"/>
      <c r="H26" s="38"/>
    </row>
    <row r="27" spans="1:8" x14ac:dyDescent="0.2">
      <c r="A27" s="40">
        <v>1999</v>
      </c>
      <c r="B27" s="39">
        <v>2531</v>
      </c>
      <c r="C27" s="112">
        <v>0</v>
      </c>
      <c r="D27" s="39">
        <v>2531</v>
      </c>
      <c r="E27" s="38"/>
      <c r="F27" s="38"/>
      <c r="G27" s="38"/>
      <c r="H27" s="38"/>
    </row>
    <row r="28" spans="1:8" x14ac:dyDescent="0.2">
      <c r="A28" s="40">
        <v>2000</v>
      </c>
      <c r="B28" s="39">
        <v>4832</v>
      </c>
      <c r="C28" s="112">
        <v>41</v>
      </c>
      <c r="D28" s="39">
        <v>4791</v>
      </c>
      <c r="E28" s="38"/>
      <c r="F28" s="38"/>
      <c r="G28" s="38"/>
      <c r="H28" s="38"/>
    </row>
    <row r="29" spans="1:8" x14ac:dyDescent="0.2">
      <c r="A29" s="40">
        <v>2001</v>
      </c>
      <c r="B29" s="38">
        <v>748</v>
      </c>
      <c r="C29" s="112">
        <v>2</v>
      </c>
      <c r="D29" s="38">
        <v>746</v>
      </c>
      <c r="E29" s="38"/>
      <c r="F29" s="38"/>
      <c r="G29" s="38"/>
      <c r="H29" s="38"/>
    </row>
    <row r="30" spans="1:8" x14ac:dyDescent="0.2">
      <c r="A30" s="40">
        <v>2002</v>
      </c>
      <c r="B30" s="39">
        <v>9921</v>
      </c>
      <c r="C30" s="112">
        <v>0</v>
      </c>
      <c r="D30" s="39">
        <v>9921</v>
      </c>
      <c r="E30" s="38"/>
      <c r="F30" s="38"/>
      <c r="G30" s="38"/>
      <c r="H30" s="38"/>
    </row>
    <row r="31" spans="1:8" x14ac:dyDescent="0.2">
      <c r="A31" s="40">
        <v>2003</v>
      </c>
      <c r="B31" s="39">
        <v>3689</v>
      </c>
      <c r="C31" s="112">
        <v>0</v>
      </c>
      <c r="D31" s="39">
        <v>3689</v>
      </c>
      <c r="E31" s="38"/>
      <c r="F31" s="38"/>
      <c r="G31" s="38"/>
      <c r="H31" s="38"/>
    </row>
    <row r="32" spans="1:8" x14ac:dyDescent="0.2">
      <c r="A32" s="40">
        <v>2004</v>
      </c>
      <c r="B32" s="38">
        <v>750</v>
      </c>
      <c r="C32" s="112">
        <v>0</v>
      </c>
      <c r="D32" s="38">
        <v>750</v>
      </c>
      <c r="E32" s="38"/>
      <c r="F32" s="38"/>
      <c r="G32" s="38"/>
      <c r="H32" s="38"/>
    </row>
    <row r="33" spans="1:8" x14ac:dyDescent="0.2">
      <c r="A33" s="40">
        <v>2005</v>
      </c>
      <c r="B33" s="38">
        <v>683</v>
      </c>
      <c r="C33" s="112">
        <v>20</v>
      </c>
      <c r="D33" s="38">
        <v>663</v>
      </c>
      <c r="E33" s="38"/>
      <c r="F33" s="38"/>
      <c r="G33" s="38"/>
      <c r="H33" s="38"/>
    </row>
    <row r="34" spans="1:8" x14ac:dyDescent="0.2">
      <c r="A34" s="40">
        <v>2006</v>
      </c>
      <c r="B34" s="38">
        <v>420</v>
      </c>
      <c r="C34" s="112">
        <v>0</v>
      </c>
      <c r="D34" s="38">
        <v>420</v>
      </c>
      <c r="E34" s="38"/>
      <c r="F34" s="38"/>
      <c r="G34" s="38"/>
      <c r="H34" s="38"/>
    </row>
    <row r="35" spans="1:8" x14ac:dyDescent="0.2">
      <c r="A35" s="40">
        <v>2007</v>
      </c>
      <c r="B35" s="38">
        <v>300</v>
      </c>
      <c r="C35" s="112">
        <v>1</v>
      </c>
      <c r="D35" s="38">
        <v>299</v>
      </c>
      <c r="E35" s="38"/>
      <c r="F35" s="38"/>
      <c r="G35" s="38"/>
      <c r="H35" s="38"/>
    </row>
    <row r="36" spans="1:8" x14ac:dyDescent="0.2">
      <c r="A36" s="40">
        <v>2008</v>
      </c>
      <c r="B36" s="39">
        <v>4275</v>
      </c>
      <c r="C36" s="112">
        <v>26</v>
      </c>
      <c r="D36" s="39">
        <v>4249</v>
      </c>
      <c r="E36" s="38"/>
      <c r="F36" s="38"/>
      <c r="G36" s="38"/>
      <c r="H36" s="38"/>
    </row>
    <row r="37" spans="1:8" x14ac:dyDescent="0.2">
      <c r="A37" s="40">
        <v>2009</v>
      </c>
      <c r="B37" s="38">
        <v>424</v>
      </c>
      <c r="C37" s="112">
        <v>3</v>
      </c>
      <c r="D37" s="38">
        <v>421</v>
      </c>
      <c r="E37" s="38"/>
      <c r="F37" s="38"/>
      <c r="G37" s="38"/>
      <c r="H37" s="38"/>
    </row>
    <row r="38" spans="1:8" x14ac:dyDescent="0.2">
      <c r="A38" s="40">
        <v>2010</v>
      </c>
      <c r="B38" s="39">
        <v>2365</v>
      </c>
      <c r="C38" s="112">
        <v>4</v>
      </c>
      <c r="D38" s="39">
        <v>2361</v>
      </c>
      <c r="E38" s="38"/>
      <c r="F38" s="38"/>
      <c r="G38" s="38"/>
      <c r="H38" s="38"/>
    </row>
    <row r="39" spans="1:8" x14ac:dyDescent="0.2">
      <c r="A39" s="40">
        <v>2011</v>
      </c>
      <c r="B39" s="39">
        <v>2119</v>
      </c>
      <c r="C39" s="112">
        <v>9</v>
      </c>
      <c r="D39" s="39">
        <v>2110</v>
      </c>
      <c r="E39" s="38"/>
      <c r="F39" s="38"/>
      <c r="G39" s="38"/>
      <c r="H39" s="38"/>
    </row>
    <row r="40" spans="1:8" x14ac:dyDescent="0.2">
      <c r="A40" s="40">
        <v>2012</v>
      </c>
      <c r="B40" s="39">
        <v>1272</v>
      </c>
      <c r="C40" s="112">
        <v>0</v>
      </c>
      <c r="D40" s="39">
        <v>1272</v>
      </c>
      <c r="E40" s="38"/>
      <c r="F40" s="38"/>
      <c r="G40" s="38"/>
      <c r="H40" s="38"/>
    </row>
    <row r="41" spans="1:8" x14ac:dyDescent="0.2">
      <c r="A41" s="40">
        <v>2013</v>
      </c>
      <c r="B41" s="39">
        <v>7462</v>
      </c>
      <c r="C41" s="112">
        <v>140</v>
      </c>
      <c r="D41" s="39">
        <v>7322</v>
      </c>
      <c r="E41" s="38"/>
      <c r="F41" s="38"/>
      <c r="G41" s="38"/>
      <c r="H41" s="38"/>
    </row>
    <row r="42" spans="1:8" x14ac:dyDescent="0.2">
      <c r="A42" s="40">
        <v>2014</v>
      </c>
      <c r="B42" s="38">
        <v>341</v>
      </c>
      <c r="C42" s="112">
        <v>0</v>
      </c>
      <c r="D42" s="38">
        <v>341</v>
      </c>
      <c r="E42" s="38"/>
      <c r="F42" s="38"/>
      <c r="G42" s="38"/>
      <c r="H42" s="38"/>
    </row>
    <row r="43" spans="1:8" x14ac:dyDescent="0.2">
      <c r="A43" s="40">
        <v>2015</v>
      </c>
      <c r="B43" s="39">
        <v>1810</v>
      </c>
      <c r="C43" s="112">
        <v>0</v>
      </c>
      <c r="D43" s="39">
        <v>1810</v>
      </c>
      <c r="E43" s="38"/>
      <c r="F43" s="38"/>
      <c r="G43" s="38"/>
      <c r="H43" s="38"/>
    </row>
    <row r="44" spans="1:8" x14ac:dyDescent="0.2">
      <c r="A44" s="40">
        <v>2016</v>
      </c>
      <c r="B44" s="39">
        <v>2141</v>
      </c>
      <c r="C44" s="112">
        <v>0</v>
      </c>
      <c r="D44" s="39">
        <v>2141</v>
      </c>
      <c r="E44" s="38"/>
      <c r="F44" s="38"/>
      <c r="G44" s="38"/>
      <c r="H44" s="38"/>
    </row>
    <row r="45" spans="1:8" x14ac:dyDescent="0.2">
      <c r="A45" s="40">
        <v>2017</v>
      </c>
      <c r="B45" s="38">
        <v>966</v>
      </c>
      <c r="C45" s="112">
        <v>0</v>
      </c>
      <c r="D45" s="38">
        <v>966</v>
      </c>
      <c r="E45" s="38"/>
      <c r="F45" s="38"/>
      <c r="G45" s="38"/>
      <c r="H45" s="38"/>
    </row>
    <row r="46" spans="1:8" x14ac:dyDescent="0.2">
      <c r="A46" s="40">
        <v>2018</v>
      </c>
      <c r="B46" s="38">
        <v>728</v>
      </c>
      <c r="C46" s="112">
        <v>0</v>
      </c>
      <c r="D46" s="38">
        <v>728</v>
      </c>
      <c r="E46" s="38"/>
      <c r="F46" s="38"/>
      <c r="G46" s="38"/>
      <c r="H46" s="38"/>
    </row>
    <row r="47" spans="1:8" x14ac:dyDescent="0.2">
      <c r="A47" s="40">
        <v>2019</v>
      </c>
      <c r="B47" s="39">
        <v>2180</v>
      </c>
      <c r="C47" s="112">
        <v>0</v>
      </c>
      <c r="D47" s="39">
        <v>2180</v>
      </c>
      <c r="E47" s="38"/>
      <c r="F47" s="38"/>
      <c r="G47" s="38"/>
      <c r="H47" s="38"/>
    </row>
    <row r="48" spans="1:8" x14ac:dyDescent="0.2">
      <c r="A48" s="40">
        <v>2020</v>
      </c>
      <c r="B48" s="39">
        <v>3869</v>
      </c>
      <c r="C48" s="112">
        <v>0</v>
      </c>
      <c r="D48" s="39">
        <v>3869</v>
      </c>
      <c r="E48" s="38"/>
      <c r="F48" s="38"/>
      <c r="G48" s="38"/>
      <c r="H48" s="38"/>
    </row>
    <row r="49" spans="1:8" x14ac:dyDescent="0.2">
      <c r="A49" s="40">
        <v>2021</v>
      </c>
      <c r="B49" s="39">
        <v>3559</v>
      </c>
      <c r="C49" s="112">
        <v>0</v>
      </c>
      <c r="D49" s="39">
        <v>3559</v>
      </c>
      <c r="E49" s="38"/>
      <c r="F49" s="38"/>
      <c r="G49" s="38"/>
      <c r="H49" s="38"/>
    </row>
    <row r="50" spans="1:8" x14ac:dyDescent="0.2">
      <c r="A50" s="40">
        <v>2022</v>
      </c>
      <c r="B50" s="38">
        <v>971</v>
      </c>
      <c r="C50" s="112">
        <v>0</v>
      </c>
      <c r="D50" s="38">
        <v>971</v>
      </c>
      <c r="E50" s="38"/>
      <c r="F50" s="38"/>
      <c r="G50" s="38"/>
      <c r="H50" s="38"/>
    </row>
    <row r="51" spans="1:8" x14ac:dyDescent="0.2">
      <c r="A51" s="40">
        <v>2023</v>
      </c>
      <c r="B51" s="39">
        <v>11671</v>
      </c>
      <c r="C51" s="112">
        <v>4</v>
      </c>
      <c r="D51" s="39">
        <v>11667</v>
      </c>
      <c r="E51" s="38"/>
      <c r="F51" s="38"/>
      <c r="G51" s="38"/>
      <c r="H51" s="38"/>
    </row>
    <row r="52" spans="1:8" x14ac:dyDescent="0.2">
      <c r="A52" s="102">
        <v>2024</v>
      </c>
      <c r="B52" s="114">
        <v>9255</v>
      </c>
      <c r="C52" s="115">
        <v>0</v>
      </c>
      <c r="D52" s="114">
        <v>8955</v>
      </c>
      <c r="E52" s="40"/>
      <c r="F52" s="38"/>
      <c r="G52" s="38"/>
      <c r="H52" s="38"/>
    </row>
    <row r="53" spans="1:8" x14ac:dyDescent="0.2">
      <c r="A53" s="40" t="s">
        <v>24</v>
      </c>
      <c r="B53" s="38"/>
      <c r="C53" s="38"/>
      <c r="D53" s="38"/>
      <c r="E53" s="38"/>
      <c r="F53" s="38"/>
      <c r="G53" s="38"/>
      <c r="H53" s="38"/>
    </row>
    <row r="54" spans="1:8" x14ac:dyDescent="0.2">
      <c r="A54" s="138" t="s">
        <v>322</v>
      </c>
      <c r="B54" s="113">
        <v>2194</v>
      </c>
      <c r="C54" s="112"/>
      <c r="D54" s="112"/>
      <c r="E54" s="38"/>
      <c r="F54" s="38"/>
      <c r="G54" s="38"/>
      <c r="H54" s="38"/>
    </row>
    <row r="55" spans="1:8" x14ac:dyDescent="0.2">
      <c r="A55" s="136" t="s">
        <v>302</v>
      </c>
      <c r="B55" s="114">
        <v>2824</v>
      </c>
      <c r="C55" s="115">
        <v>0</v>
      </c>
      <c r="D55" s="114">
        <v>2823</v>
      </c>
      <c r="E55" s="38"/>
      <c r="F55" s="38"/>
      <c r="G55" s="38"/>
      <c r="H55" s="38"/>
    </row>
    <row r="56" spans="1:8" x14ac:dyDescent="0.2">
      <c r="A56" s="40" t="s">
        <v>215</v>
      </c>
      <c r="B56" s="42"/>
      <c r="C56" s="89"/>
      <c r="D56" s="38"/>
      <c r="E56" s="38"/>
      <c r="F56" s="38"/>
      <c r="G56" s="38"/>
      <c r="H56" s="38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Stik Appen B12-13</vt:lpstr>
      <vt:lpstr>Stik Appen B22</vt:lpstr>
      <vt:lpstr>Stik Appen B.24</vt:lpstr>
      <vt:lpstr>Stik Appen B.25</vt:lpstr>
      <vt:lpstr>Stik Appen B.26</vt:lpstr>
      <vt:lpstr>Stik Appen B.27</vt:lpstr>
      <vt:lpstr>Stik Appen B.30</vt:lpstr>
      <vt:lpstr>Stik Appen B.32</vt:lpstr>
      <vt:lpstr>B.33_VMadded</vt:lpstr>
      <vt:lpstr>Stik Appen B.34</vt:lpstr>
      <vt:lpstr>Appen D7</vt:lpstr>
      <vt:lpstr>Appen D8</vt:lpstr>
      <vt:lpstr>TAk Appen D14</vt:lpstr>
      <vt:lpstr>TAk Appen D15</vt:lpstr>
      <vt:lpstr>TAk Appen D16</vt:lpstr>
      <vt:lpstr>TAk Appen D17</vt:lpstr>
      <vt:lpstr>TAk Appen D18</vt:lpstr>
      <vt:lpstr>TAk Appen D19</vt:lpstr>
      <vt:lpstr>TAk Appen D22</vt:lpstr>
      <vt:lpstr>TAk Appen D24</vt:lpstr>
      <vt:lpstr>ALS Appen E5</vt:lpstr>
      <vt:lpstr>ALS Appen E8</vt:lpstr>
      <vt:lpstr>ALS Appen E10</vt:lpstr>
      <vt:lpstr>ALS Appen E13</vt:lpstr>
      <vt:lpstr>E12_converted</vt:lpstr>
      <vt:lpstr>ALS Appen E15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Sembsmoen, Johnny</dc:creator>
  <cp:lastModifiedBy>Stephanie Peacock</cp:lastModifiedBy>
  <dcterms:created xsi:type="dcterms:W3CDTF">2022-01-06T17:25:47Z</dcterms:created>
  <dcterms:modified xsi:type="dcterms:W3CDTF">2025-04-16T16:34:02Z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2022-01-06T17:25:47Z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aaeb3347-9ad7-40c1-aad1-5dec81a9dee2</vt:lpwstr>
  </property>
  <property fmtid="{D5CDD505-2E9C-101B-9397-08002B2CF9AE}" pid="8" name="MSIP_Label_1bfb733f-faef-464c-9b6d-731b56f94973_ContentBits">
    <vt:lpwstr>0</vt:lpwstr>
  </property>
</Properties>
</file>